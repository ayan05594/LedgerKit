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Reward Research" sheetId="5" state="visible" r:id="rId5"/>
  </sheets>
  <definedNames>
    <definedName name="_xlnm._FilterDatabase" localSheetId="0" hidden="1">'Catalogue'!$A$1:$X$296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666666"/>
    </font>
    <font>
      <b val="1"/>
      <color rgb="00006100"/>
    </font>
    <font>
      <color rgb="00008000"/>
      <u val="single"/>
    </font>
    <font>
      <b val="1"/>
      <color rgb="009C0006"/>
    </font>
    <font>
      <b val="1"/>
      <color rgb="0017365D"/>
      <sz val="18"/>
    </font>
    <font>
      <b val="1"/>
      <color rgb="0017365D"/>
      <sz val="12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0" fontId="10" fillId="6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C1" authorId="0" shapeId="0">
      <text>
        <t>Card names are taken from the LedgerKit catalogue supplied in the request. Discontinued status is separated into column B.</t>
      </text>
    </comment>
    <comment ref="S1" authorId="0" shapeId="0">
      <text>
        <t>Official issuer URL(s) used for populated facts or, where fields are blank, an official catalogue/current-terms page confirming the product when available. Multiple URLs are newline-separated.</t>
      </text>
    </comment>
    <comment ref="T1" authorId="0" shapeId="0">
      <text>
        <t>Document effective date when explicit; otherwise the official page access date. Legacy rows are marked as such.</t>
      </text>
    </comment>
  </commentList>
</comments>
</file>

<file path=xl/tables/table1.xml><?xml version="1.0" encoding="utf-8"?>
<table xmlns="http://schemas.openxmlformats.org/spreadsheetml/2006/main" id="1" name="LedgerKitCatalogue" displayName="LedgerKitCatalogue" ref="A1:T296" headerRowCount="1">
  <autoFilter ref="A1:T296"/>
  <tableColumns count="20">
    <tableColumn id="1" name="Issuer"/>
    <tableColumn id="2" name="Status"/>
    <tableColumn id="3" name="Card"/>
    <tableColumn id="4" name="Base reward"/>
    <tableColumn id="5" name="Accelerated rewards"/>
    <tableColumn id="6" name="Reward-point value"/>
    <tableColumn id="7" name="Monthly/quarterly/annual caps"/>
    <tableColumn id="8" name="Minimum transaction"/>
    <tableColumn id="9" name="Excluded categories/MCCs"/>
    <tableColumn id="10" name="Excluded merchants"/>
    <tableColumn id="11" name="Joining fee"/>
    <tableColumn id="12" name="Annual fee"/>
    <tableColumn id="13" name="Fee-waiver condition"/>
    <tableColumn id="14" name="Forex markup"/>
    <tableColumn id="15" name="Lounge benefits"/>
    <tableColumn id="16" name="Milestone benefits"/>
    <tableColumn id="17" name="Fuel surcharge waiver"/>
    <tableColumn id="18" name="Other benefits"/>
    <tableColumn id="19" name="Official source URL"/>
    <tableColumn id="20" name="Effective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Inventory" displayName="SourceInventory" ref="A1:E25" headerRowCount="1">
  <autoFilter ref="A1:E25"/>
  <tableColumns count="5">
    <tableColumn id="1" name="Issuer"/>
    <tableColumn id="2" name="Source"/>
    <tableColumn id="3" name="Date / status"/>
    <tableColumn id="4" name="Official URL"/>
    <tableColumn id="5" name="Data / claims us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6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42" customWidth="1" min="3" max="3"/>
    <col width="36" customWidth="1" min="4" max="4"/>
    <col width="45" customWidth="1" min="5" max="5"/>
    <col width="35" customWidth="1" min="6" max="6"/>
    <col width="42" customWidth="1" min="7" max="7"/>
    <col width="24" customWidth="1" min="8" max="8"/>
    <col width="54" customWidth="1" min="9" max="9"/>
    <col width="38" customWidth="1" min="10" max="10"/>
    <col width="20" customWidth="1" min="11" max="11"/>
    <col width="20" customWidth="1" min="12" max="12"/>
    <col width="32" customWidth="1" min="13" max="13"/>
    <col width="20" customWidth="1" min="14" max="14"/>
    <col width="46" customWidth="1" min="15" max="15"/>
    <col width="46" customWidth="1" min="16" max="16"/>
    <col width="42" customWidth="1" min="17" max="17"/>
    <col width="44" customWidth="1" min="18" max="18"/>
    <col width="62" customWidth="1" min="19" max="19"/>
    <col width="34" customWidth="1" min="20" max="20"/>
    <col width="58" customWidth="1" min="21" max="21"/>
    <col width="24" customWidth="1" min="22" max="22"/>
    <col width="18" customWidth="1" min="23" max="23"/>
    <col width="55" customWidth="1" min="24" max="24"/>
  </cols>
  <sheetData>
    <row r="1" ht="34" customHeight="1">
      <c r="A1" s="1" t="inlineStr">
        <is>
          <t>Issuer</t>
        </is>
      </c>
      <c r="B1" s="1" t="inlineStr">
        <is>
          <t>Status</t>
        </is>
      </c>
      <c r="C1" s="1" t="inlineStr">
        <is>
          <t>Card</t>
        </is>
      </c>
      <c r="D1" s="1" t="inlineStr">
        <is>
          <t>Base reward</t>
        </is>
      </c>
      <c r="E1" s="1" t="inlineStr">
        <is>
          <t>Accelerated rewards</t>
        </is>
      </c>
      <c r="F1" s="1" t="inlineStr">
        <is>
          <t>Reward-point value</t>
        </is>
      </c>
      <c r="G1" s="1" t="inlineStr">
        <is>
          <t>Monthly/quarterly/annual caps</t>
        </is>
      </c>
      <c r="H1" s="1" t="inlineStr">
        <is>
          <t>Minimum transaction</t>
        </is>
      </c>
      <c r="I1" s="1" t="inlineStr">
        <is>
          <t>Excluded categories/MCCs</t>
        </is>
      </c>
      <c r="J1" s="1" t="inlineStr">
        <is>
          <t>Excluded merchants</t>
        </is>
      </c>
      <c r="K1" s="1" t="inlineStr">
        <is>
          <t>Joining fee</t>
        </is>
      </c>
      <c r="L1" s="1" t="inlineStr">
        <is>
          <t>Annual fee</t>
        </is>
      </c>
      <c r="M1" s="1" t="inlineStr">
        <is>
          <t>Fee-waiver condition</t>
        </is>
      </c>
      <c r="N1" s="1" t="inlineStr">
        <is>
          <t>Forex markup</t>
        </is>
      </c>
      <c r="O1" s="1" t="inlineStr">
        <is>
          <t>Lounge benefits</t>
        </is>
      </c>
      <c r="P1" s="1" t="inlineStr">
        <is>
          <t>Milestone benefits</t>
        </is>
      </c>
      <c r="Q1" s="1" t="inlineStr">
        <is>
          <t>Fuel surcharge waiver</t>
        </is>
      </c>
      <c r="R1" s="1" t="inlineStr">
        <is>
          <t>Other benefits</t>
        </is>
      </c>
      <c r="S1" s="1" t="inlineStr">
        <is>
          <t>Official source URL</t>
        </is>
      </c>
      <c r="T1" s="1" t="inlineStr">
        <is>
          <t>Effective date</t>
        </is>
      </c>
      <c r="U1" s="1" t="inlineStr">
        <is>
          <t>Reward source URL</t>
        </is>
      </c>
      <c r="V1" s="1" t="inlineStr">
        <is>
          <t>Reward source type</t>
        </is>
      </c>
      <c r="W1" s="1" t="inlineStr">
        <is>
          <t>Reward research date</t>
        </is>
      </c>
      <c r="X1" s="1" t="inlineStr">
        <is>
          <t>Reward research note</t>
        </is>
      </c>
    </row>
    <row r="2" ht="46" customHeight="1">
      <c r="A2" s="2" t="inlineStr">
        <is>
          <t>HDFC Bank</t>
        </is>
      </c>
      <c r="B2" s="3" t="inlineStr">
        <is>
          <t>Selectable</t>
        </is>
      </c>
      <c r="C2" s="4" t="inlineStr">
        <is>
          <t>Millennia Credit Card</t>
        </is>
      </c>
      <c r="D2" s="4" t="inlineStr">
        <is>
          <t>1% CashPoints on eligible spends.</t>
        </is>
      </c>
      <c r="E2" s="4" t="inlineStr">
        <is>
          <t>5% CashPoints on Amazon, Flipkart, Myntra, Tata CLiQ, Swiggy, Zomato, Uber, BookMyShow, Sony LIV and Cult.fit.</t>
        </is>
      </c>
      <c r="F2" s="4" t="inlineStr">
        <is>
          <t>1 CashPoint = ₹1 for statement cashback; ₹0.30 for flights/hotels, airmiles and catalogue redemptions.</t>
        </is>
      </c>
      <c r="G2" s="4" t="inlineStr">
        <is>
          <t>Statement cashback redemption max 3,000 CashPoints/month; flights/hotels redemption max 50,000 CashPoints/month. Quarterly milestone at ₹1 lakh eligible spend.</t>
        </is>
      </c>
      <c r="H2" s="4" t="inlineStr"/>
      <c r="I2" s="4" t="inlineStr"/>
      <c r="J2" s="4" t="inlineStr"/>
      <c r="K2" s="4" t="inlineStr">
        <is>
          <t>₹1,000 + applicable taxes</t>
        </is>
      </c>
      <c r="L2" s="4" t="inlineStr">
        <is>
          <t>₹1,000 + applicable taxes</t>
        </is>
      </c>
      <c r="M2" s="4" t="inlineStr">
        <is>
          <t>Annual fee waived on ₹1 lakh eligible annual spend.</t>
        </is>
      </c>
      <c r="N2" s="4" t="inlineStr"/>
      <c r="O2" s="4" t="inlineStr">
        <is>
          <t>Quarterly milestone choice can include 1 domestic lounge visit instead of ₹1,000 voucher after ₹1 lakh quarterly spend.</t>
        </is>
      </c>
      <c r="P2" s="4" t="inlineStr">
        <is>
          <t>₹1,000 voucher OR 1 domestic lounge visit on ₹1 lakh spend in a calendar quarter.</t>
        </is>
      </c>
      <c r="Q2" s="4" t="inlineStr">
        <is>
          <t>1% waiver on fuel transactions of ₹400–₹5,000; max ₹250 per statement cycle.</t>
        </is>
      </c>
      <c r="R2" s="4" t="inlineStr"/>
      <c r="S2" s="5" t="inlineStr">
        <is>
          <t>https://www.hdfc.bank.in/credit-cards/millennia-credit-card
https://www.hdfc.bank.in/credit-cards</t>
        </is>
      </c>
      <c r="T2" s="2" t="inlineStr">
        <is>
          <t>Current product page accessed 2026-09-09</t>
        </is>
      </c>
    </row>
    <row r="3" ht="22" customHeight="1">
      <c r="A3" s="2" t="inlineStr">
        <is>
          <t>HDFC Bank</t>
        </is>
      </c>
      <c r="B3" s="3" t="inlineStr">
        <is>
          <t>Selectable</t>
        </is>
      </c>
      <c r="C3" s="4" t="inlineStr">
        <is>
          <t>IndianOil HDFC Bank Credit Card</t>
        </is>
      </c>
      <c r="D3" s="4" t="inlineStr">
        <is>
          <t>1 Fuel Point per ₹150 on eligible other spends, including eligible UPI spends.</t>
        </is>
      </c>
      <c r="E3" s="4" t="inlineStr">
        <is>
          <t>5% Fuel Points on eligible IndianOil fuel, groceries and bill payments.</t>
        </is>
      </c>
      <c r="F3" s="4" t="inlineStr">
        <is>
          <t>1 Fuel Point = 3 IndianOil XTRAREWARDS points; issuer indicates approx. ₹0.96 fuel value and ₹0.20 for catalogue/cashback redemption.</t>
        </is>
      </c>
      <c r="G3" s="4" t="inlineStr">
        <is>
          <t>IndianOil fuel: 250 Fuel Points/month for first 6 months, then 150/month; grocery: 100/month; bill payments: 100/month.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5" t="inlineStr">
        <is>
          <t>https://www.hdfc.bank.in/credit-cards</t>
        </is>
      </c>
      <c r="T3" s="2" t="inlineStr">
        <is>
          <t>Current official catalogue accessed 2026-09-09</t>
        </is>
      </c>
      <c r="U3" s="5" t="inlineStr">
        <is>
          <t>https://www.hdfc.bank.in/credit-cards/indianoil-hdfc-bank-credit-card</t>
        </is>
      </c>
      <c r="V3" s="2" t="inlineStr">
        <is>
          <t>Official issuer</t>
        </is>
      </c>
      <c r="W3" s="2" t="inlineStr">
        <is>
          <t>2026-09-09</t>
        </is>
      </c>
      <c r="X3" s="2" t="inlineStr">
        <is>
          <t>Second-pass reward/cashback research; populated only from located source material.</t>
        </is>
      </c>
    </row>
    <row r="4" ht="22" customHeight="1">
      <c r="A4" s="2" t="inlineStr">
        <is>
          <t>HDFC Bank</t>
        </is>
      </c>
      <c r="B4" s="3" t="inlineStr">
        <is>
          <t>Selectable</t>
        </is>
      </c>
      <c r="C4" s="4" t="inlineStr">
        <is>
          <t>Tata Neu Infinity HDFC Bank Credit Card</t>
        </is>
      </c>
      <c r="D4" s="4" t="inlineStr">
        <is>
          <t>1.5% NeuCoins on eligible non-Tata spends.</t>
        </is>
      </c>
      <c r="E4" s="4" t="inlineStr">
        <is>
          <t>5% NeuCoins on eligible Tata brand spends plus an additional 5% on select Tata Neu transactions; eligible UPI spends earn up to 1.5%.</t>
        </is>
      </c>
      <c r="F4" s="4" t="inlineStr">
        <is>
          <t>1 NeuCoin = ₹1 when redeemed in the Tata Neu ecosystem.</t>
        </is>
      </c>
      <c r="G4" s="4" t="inlineStr">
        <is>
          <t>UPI reward component capped at 500 NeuCoins per calendar month.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5" t="inlineStr">
        <is>
          <t>https://www.hdfc.bank.in/credit-cards</t>
        </is>
      </c>
      <c r="T4" s="2" t="inlineStr">
        <is>
          <t>Current official catalogue accessed 2026-09-09</t>
        </is>
      </c>
      <c r="U4" s="5" t="inlineStr">
        <is>
          <t>https://www.hdfc.bank.in/credit-cards/tata-neu-infinity-hdfc-bank-credit-card</t>
        </is>
      </c>
      <c r="V4" s="2" t="inlineStr">
        <is>
          <t>Official issuer</t>
        </is>
      </c>
      <c r="W4" s="2" t="inlineStr">
        <is>
          <t>2026-09-09</t>
        </is>
      </c>
      <c r="X4" s="2" t="inlineStr">
        <is>
          <t>Second-pass reward/cashback research; populated only from located source material.</t>
        </is>
      </c>
    </row>
    <row r="5" ht="34" customHeight="1">
      <c r="A5" s="2" t="inlineStr">
        <is>
          <t>HDFC Bank</t>
        </is>
      </c>
      <c r="B5" s="3" t="inlineStr">
        <is>
          <t>Selectable</t>
        </is>
      </c>
      <c r="C5" s="4" t="inlineStr">
        <is>
          <t>HDFC Bank MoneyBack+ Credit Card</t>
        </is>
      </c>
      <c r="D5" s="4" t="inlineStr">
        <is>
          <t>2 CashPoints per ₹150 on eligible spends.</t>
        </is>
      </c>
      <c r="E5" s="4" t="inlineStr">
        <is>
          <t>10X CashPoints (20 CashPoints per ₹150) at Amazon, BigBasket, Flipkart, Reliance Smart SuperStore and Swiggy.</t>
        </is>
      </c>
      <c r="F5" s="4" t="inlineStr"/>
      <c r="G5" s="4" t="inlineStr">
        <is>
          <t>Accelerated rewards capped at 2,500 CashPoints/month; total reward accrual capped at 15,000 CashPoints per statement cycle.</t>
        </is>
      </c>
      <c r="H5" s="4" t="inlineStr"/>
      <c r="I5" s="4" t="inlineStr">
        <is>
          <t>Fuel, EMI, rent, government, wallet/gift/prepaid/voucher; education through third-party apps excluded; wallet and EasyEMI excluded.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>
        <is>
          <t>₹500 gift voucher at ₹50,000 eligible spend in a calendar quarter; joining/renewal fee payment benefit of 500 CashPoints where applicable.</t>
        </is>
      </c>
      <c r="Q5" s="4" t="inlineStr"/>
      <c r="R5" s="4" t="inlineStr"/>
      <c r="S5" s="5" t="inlineStr">
        <is>
          <t>https://www.hdfc.bank.in/credit-cards/moneyback-plus-credit-card
https://www.hdfc.bank.in/credit-cards</t>
        </is>
      </c>
      <c r="T5" s="2" t="inlineStr">
        <is>
          <t>Current official product/T&amp;C accessed 2026-09-09</t>
        </is>
      </c>
    </row>
    <row r="6" ht="22" customHeight="1">
      <c r="A6" s="2" t="inlineStr">
        <is>
          <t>HDFC Bank</t>
        </is>
      </c>
      <c r="B6" s="3" t="inlineStr">
        <is>
          <t>Selectable</t>
        </is>
      </c>
      <c r="C6" s="4" t="inlineStr">
        <is>
          <t>HDFC Bank Freedom Credit Card</t>
        </is>
      </c>
      <c r="D6" s="4" t="inlineStr">
        <is>
          <t>1 Reward Point per ₹200 on eligible spends.</t>
        </is>
      </c>
      <c r="E6" s="4" t="inlineStr">
        <is>
          <t>10X Reward Points at select partners including BigBasket, BookMyShow, OYO, Swiggy and Uber, subject to current issuer terms.</t>
        </is>
      </c>
      <c r="F6" s="4" t="inlineStr">
        <is>
          <t>1 Reward Point = up to about ₹0.15 for cashback redemption; value varies by redemption option.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5" t="inlineStr">
        <is>
          <t>https://www.hdfc.bank.in/credit-cards</t>
        </is>
      </c>
      <c r="T6" s="2" t="inlineStr">
        <is>
          <t>Current official catalogue accessed 2026-09-09</t>
        </is>
      </c>
      <c r="U6" s="5" t="inlineStr">
        <is>
          <t>https://www.hdfc.bank.in/credit-cards/freedom-credit-card</t>
        </is>
      </c>
      <c r="V6" s="2" t="inlineStr">
        <is>
          <t>Official issuer</t>
        </is>
      </c>
      <c r="W6" s="2" t="inlineStr">
        <is>
          <t>2026-09-09</t>
        </is>
      </c>
      <c r="X6" s="2" t="inlineStr">
        <is>
          <t>Second-pass reward/cashback research; populated only from located source material.</t>
        </is>
      </c>
    </row>
    <row r="7" ht="22" customHeight="1">
      <c r="A7" s="2" t="inlineStr">
        <is>
          <t>HDFC Bank</t>
        </is>
      </c>
      <c r="B7" s="3" t="inlineStr">
        <is>
          <t>Selectable</t>
        </is>
      </c>
      <c r="C7" s="4" t="inlineStr">
        <is>
          <t>PhonePe HDFC Bank Uno Credit Card</t>
        </is>
      </c>
      <c r="D7" s="4" t="inlineStr">
        <is>
          <t>1% value back on eligible scan-and-pay/UPI spends, subject to card terms.</t>
        </is>
      </c>
      <c r="E7" s="4" t="inlineStr">
        <is>
          <t>2% on eligible PhonePe categories and 1% on select online spends; cashback/reward buckets are separately capped.</t>
        </is>
      </c>
      <c r="F7" s="4" t="inlineStr">
        <is>
          <t>1 Reward Point = ₹1 for cashback redemption; about ₹0.30 on selected SmartBuy redemptions.</t>
        </is>
      </c>
      <c r="G7" s="4" t="inlineStr">
        <is>
          <t>Up to 500 Reward Points/month in each of the PhonePe, select-online and scan-and-pay buckets, as applicable.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5" t="inlineStr">
        <is>
          <t>https://www.hdfc.bank.in/credit-cards</t>
        </is>
      </c>
      <c r="T7" s="2" t="inlineStr">
        <is>
          <t>Current official catalogue accessed 2026-09-09</t>
        </is>
      </c>
      <c r="U7" s="5" t="inlineStr">
        <is>
          <t>https://www.hdfc.bank.in/credit-cards/phonepe-hdfc-bank-uno-credit-card</t>
        </is>
      </c>
      <c r="V7" s="2" t="inlineStr">
        <is>
          <t>Official issuer</t>
        </is>
      </c>
      <c r="W7" s="2" t="inlineStr">
        <is>
          <t>2026-09-09</t>
        </is>
      </c>
      <c r="X7" s="2" t="inlineStr">
        <is>
          <t>Second-pass reward/cashback research; populated only from located source material.</t>
        </is>
      </c>
    </row>
    <row r="8" ht="22" customHeight="1">
      <c r="A8" s="2" t="inlineStr">
        <is>
          <t>HDFC Bank</t>
        </is>
      </c>
      <c r="B8" s="3" t="inlineStr">
        <is>
          <t>Selectable</t>
        </is>
      </c>
      <c r="C8" s="4" t="inlineStr">
        <is>
          <t>PhonePe HDFC Bank Ultimo Credit Card</t>
        </is>
      </c>
      <c r="D8" s="4" t="inlineStr">
        <is>
          <t>1% value back on eligible scan-and-pay/UPI spends.</t>
        </is>
      </c>
      <c r="E8" s="4" t="inlineStr">
        <is>
          <t>10% on eligible PhonePe recharge, utility, bill-payment and travel spends; 5% on select online merchants such as Amazon, Flipkart, Myntra, AJIO, Swiggy, Zomato and Uber.</t>
        </is>
      </c>
      <c r="F8" s="4" t="inlineStr">
        <is>
          <t>1 Reward Point = ₹1 for cashback redemption; about ₹0.30 on selected SmartBuy redemptions.</t>
        </is>
      </c>
      <c r="G8" s="4" t="inlineStr">
        <is>
          <t>PhonePe 10% bucket: up to 1,000 Reward Points/month; select-online 5% bucket: up to 500/month; scan-and-pay: up to 500/month.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5" t="inlineStr">
        <is>
          <t>https://www.hdfc.bank.in/credit-cards</t>
        </is>
      </c>
      <c r="T8" s="2" t="inlineStr">
        <is>
          <t>Current official catalogue accessed 2026-09-09</t>
        </is>
      </c>
      <c r="U8" s="5" t="inlineStr">
        <is>
          <t>https://www.hdfc.bank.in/credit-cards/phonepe-hdfc-bank-ultimo-credit-card</t>
        </is>
      </c>
      <c r="V8" s="2" t="inlineStr">
        <is>
          <t>Official issuer</t>
        </is>
      </c>
      <c r="W8" s="2" t="inlineStr">
        <is>
          <t>2026-09-09</t>
        </is>
      </c>
      <c r="X8" s="2" t="inlineStr">
        <is>
          <t>Second-pass reward/cashback research; populated only from located source material.</t>
        </is>
      </c>
    </row>
    <row r="9" ht="22" customHeight="1">
      <c r="A9" s="2" t="inlineStr">
        <is>
          <t>HDFC Bank</t>
        </is>
      </c>
      <c r="B9" s="3" t="inlineStr">
        <is>
          <t>Selectable</t>
        </is>
      </c>
      <c r="C9" s="4" t="inlineStr">
        <is>
          <t>HDFC Bank Diners Club Black Metal Edition Credit Card</t>
        </is>
      </c>
      <c r="D9" s="4" t="inlineStr">
        <is>
          <t>5 Reward Points per ₹150 on eligible retail spends.</t>
        </is>
      </c>
      <c r="E9" s="4" t="inlineStr">
        <is>
          <t>2X Reward Points on eligible weekend dining and up to 10X through eligible SmartBuy offers.</t>
        </is>
      </c>
      <c r="F9" s="4" t="inlineStr">
        <is>
          <t>Up to ₹1/point for eligible flight/hotel redemptions; airline-mile transfer can be up to 1:1; catalogue about ₹0.50 and cashback about ₹0.30 per point.</t>
        </is>
      </c>
      <c r="G9" s="4" t="inlineStr">
        <is>
          <t>Accelerated SmartBuy rewards subject to programme caps; quarterly milestone: 10,000 bonus Reward Points on ₹4 lakh eligible quarterly spend.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5" t="inlineStr">
        <is>
          <t>https://www.hdfc.bank.in/credit-cards</t>
        </is>
      </c>
      <c r="T9" s="2" t="inlineStr">
        <is>
          <t>Current official catalogue accessed 2026-09-09</t>
        </is>
      </c>
      <c r="U9" s="5" t="inlineStr">
        <is>
          <t>https://v.hdfc.bank.in/htdocs/amp/personal/pay/cards/credit-cards/diners-club-black-metal-edition.html</t>
        </is>
      </c>
      <c r="V9" s="2" t="inlineStr">
        <is>
          <t>Official issuer</t>
        </is>
      </c>
      <c r="W9" s="2" t="inlineStr">
        <is>
          <t>2026-09-09</t>
        </is>
      </c>
      <c r="X9" s="2" t="inlineStr">
        <is>
          <t>Second-pass reward/cashback research; populated only from located source material.</t>
        </is>
      </c>
    </row>
    <row r="10" ht="34" customHeight="1">
      <c r="A10" s="2" t="inlineStr">
        <is>
          <t>HDFC Bank</t>
        </is>
      </c>
      <c r="B10" s="3" t="inlineStr">
        <is>
          <t>Selectable</t>
        </is>
      </c>
      <c r="C10" s="4" t="inlineStr">
        <is>
          <t>HDFC Bank PIXEL Play Credit Card</t>
        </is>
      </c>
      <c r="D10" s="4" t="inlineStr">
        <is>
          <t>1% cashback/reward value on eligible spends.</t>
        </is>
      </c>
      <c r="E10" s="4" t="inlineStr">
        <is>
          <t>5% on chosen benefit packs, 5% through eligible SmartBuy spends, 3% on eligible e-commerce and 1% on eligible UPI spends.</t>
        </is>
      </c>
      <c r="F10" s="4" t="inlineStr"/>
      <c r="G10" s="4" t="inlineStr">
        <is>
          <t>Issuer T&amp;C provides separate monthly caps, commonly up to ₹500 in each accelerated bucket.</t>
        </is>
      </c>
      <c r="H10" s="4" t="inlineStr"/>
      <c r="I10" s="4" t="inlineStr"/>
      <c r="J10" s="4" t="inlineStr"/>
      <c r="K10" s="4" t="inlineStr">
        <is>
          <t>₹500 (published card fee; fee-waiver conditions may apply).</t>
        </is>
      </c>
      <c r="L10" s="4" t="inlineStr">
        <is>
          <t>₹500</t>
        </is>
      </c>
      <c r="M10" s="4" t="inlineStr">
        <is>
          <t>Joining fee waiver at ₹20,000 eligible spend in first 90 days; renewal fee waiver at ₹1 lakh annual spend.</t>
        </is>
      </c>
      <c r="N10" s="4" t="inlineStr"/>
      <c r="O10" s="4" t="inlineStr"/>
      <c r="P10" s="4" t="inlineStr"/>
      <c r="Q10" s="4" t="inlineStr"/>
      <c r="R10" s="4" t="inlineStr"/>
      <c r="S10" s="5" t="inlineStr">
        <is>
          <t>https://www.hdfc.bank.in/credit-cards</t>
        </is>
      </c>
      <c r="T10" s="2" t="inlineStr">
        <is>
          <t>Current HDFC PIXEL MITC/product material accessed 2026-09-09</t>
        </is>
      </c>
      <c r="U10" s="5" t="inlineStr">
        <is>
          <t>https://www.hdfc.bank.in/content/dam/hdfcbankpws/in/en/personal-banking/discover-products/cards/credit-cards/pixel-play-credit-card/terms-and-conditions-pixel-play-credit-card-16122025.pdf</t>
        </is>
      </c>
      <c r="V10" s="2" t="inlineStr">
        <is>
          <t>Official issuer</t>
        </is>
      </c>
      <c r="W10" s="2" t="inlineStr">
        <is>
          <t>2026-09-09</t>
        </is>
      </c>
      <c r="X10" s="2" t="inlineStr">
        <is>
          <t>Second-pass reward/cashback research; populated only from located source material.</t>
        </is>
      </c>
    </row>
    <row r="11" ht="22" customHeight="1">
      <c r="A11" s="2" t="inlineStr">
        <is>
          <t>HDFC Bank</t>
        </is>
      </c>
      <c r="B11" s="3" t="inlineStr">
        <is>
          <t>Selectable</t>
        </is>
      </c>
      <c r="C11" s="4" t="inlineStr">
        <is>
          <t>HDFC Bank PIXEL Go Credit Card</t>
        </is>
      </c>
      <c r="D11" s="4" t="inlineStr">
        <is>
          <t>1% cashback/reward value on eligible spends.</t>
        </is>
      </c>
      <c r="E11" s="4" t="inlineStr">
        <is>
          <t>5% on eligible SmartBuy transactions and 1% on eligible UPI transactions.</t>
        </is>
      </c>
      <c r="F11" s="4" t="inlineStr"/>
      <c r="G11" s="4" t="inlineStr"/>
      <c r="H11" s="4" t="inlineStr"/>
      <c r="I11" s="4" t="inlineStr"/>
      <c r="J11" s="4" t="inlineStr"/>
      <c r="K11" s="4" t="inlineStr">
        <is>
          <t>₹250 (published card fee; fee-waiver conditions may apply).</t>
        </is>
      </c>
      <c r="L11" s="4" t="inlineStr">
        <is>
          <t>₹250</t>
        </is>
      </c>
      <c r="M11" s="4" t="inlineStr">
        <is>
          <t>Joining fee waiver at ₹10,000 eligible spend in first 90 days.</t>
        </is>
      </c>
      <c r="N11" s="4" t="inlineStr"/>
      <c r="O11" s="4" t="inlineStr"/>
      <c r="P11" s="4" t="inlineStr"/>
      <c r="Q11" s="4" t="inlineStr"/>
      <c r="R11" s="4" t="inlineStr"/>
      <c r="S11" s="5" t="inlineStr">
        <is>
          <t>https://www.hdfc.bank.in/credit-cards</t>
        </is>
      </c>
      <c r="T11" s="2" t="inlineStr">
        <is>
          <t>Current HDFC PIXEL MITC/product material accessed 2026-09-09</t>
        </is>
      </c>
      <c r="U11" s="5" t="inlineStr">
        <is>
          <t>https://www.hdfc.bank.in/credit-cards/pixel-go-credit-card</t>
        </is>
      </c>
      <c r="V11" s="2" t="inlineStr">
        <is>
          <t>Official issuer</t>
        </is>
      </c>
      <c r="W11" s="2" t="inlineStr">
        <is>
          <t>2026-09-09</t>
        </is>
      </c>
      <c r="X11" s="2" t="inlineStr">
        <is>
          <t>Second-pass reward/cashback research; populated only from located source material.</t>
        </is>
      </c>
    </row>
    <row r="12" ht="22" customHeight="1">
      <c r="A12" s="2" t="inlineStr">
        <is>
          <t>HDFC Bank</t>
        </is>
      </c>
      <c r="B12" s="3" t="inlineStr">
        <is>
          <t>Selectable</t>
        </is>
      </c>
      <c r="C12" s="4" t="inlineStr">
        <is>
          <t>HDFC Bank UPI RuPay Credit Card</t>
        </is>
      </c>
      <c r="D12" s="4" t="inlineStr">
        <is>
          <t>1% CashPoints on eligible spends.</t>
        </is>
      </c>
      <c r="E12" s="4" t="inlineStr">
        <is>
          <t>3% CashPoints on eligible grocery, supermarket, dining and PayZapp spends; 2% on eligible utility spends.</t>
        </is>
      </c>
      <c r="F12" s="4" t="inlineStr">
        <is>
          <t>1 CashPoint = ₹0.25 for cashback redemption.</t>
        </is>
      </c>
      <c r="G12" s="4" t="inlineStr">
        <is>
          <t>Accelerated CashPoints capped at 500 points per category per calendar month.</t>
        </is>
      </c>
      <c r="H12" s="4" t="inlineStr">
        <is>
          <t>₹100 minimum eligible transaction for reward accrual, subject to current terms.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5" t="inlineStr">
        <is>
          <t>https://www.hdfc.bank.in/credit-cards</t>
        </is>
      </c>
      <c r="T12" s="2" t="inlineStr">
        <is>
          <t>Current official catalogue accessed 2026-09-09</t>
        </is>
      </c>
      <c r="U12" s="5" t="inlineStr">
        <is>
          <t>https://www.hdfc.bank.in/credit-cards/hdfc-bank-upi-rupay-credit-card</t>
        </is>
      </c>
      <c r="V12" s="2" t="inlineStr">
        <is>
          <t>Official issuer</t>
        </is>
      </c>
      <c r="W12" s="2" t="inlineStr">
        <is>
          <t>2026-09-09</t>
        </is>
      </c>
      <c r="X12" s="2" t="inlineStr">
        <is>
          <t>Second-pass reward/cashback research; populated only from located source material.</t>
        </is>
      </c>
    </row>
    <row r="13" ht="34" customHeight="1">
      <c r="A13" s="2" t="inlineStr">
        <is>
          <t>HDFC Bank</t>
        </is>
      </c>
      <c r="B13" s="3" t="inlineStr">
        <is>
          <t>Selectable</t>
        </is>
      </c>
      <c r="C13" s="4" t="inlineStr">
        <is>
          <t>HDFC Bank Regalia Gold Credit Card</t>
        </is>
      </c>
      <c r="D13" s="4" t="inlineStr">
        <is>
          <t>4 Reward Points per ₹150 on eligible retail spends.</t>
        </is>
      </c>
      <c r="E13" s="4" t="inlineStr">
        <is>
          <t>Up to 20 Reward Points per ₹150 at selected accelerated partners/SmartBuy offers.</t>
        </is>
      </c>
      <c r="F13" s="4" t="inlineStr">
        <is>
          <t>Typical values: up to ₹0.65/point on selected catalogue rewards, about ₹0.50 for eligible flight/hotel redemptions, and about ₹0.20 as statement cashback.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2% foreign-currency markup, per current official card material.</t>
        </is>
      </c>
      <c r="O13" s="4" t="inlineStr">
        <is>
          <t>Up to 12 domestic lounge visits/year; Priority Pass benefit includes up to 6 international lounge visits/year, subject to current programme terms.</t>
        </is>
      </c>
      <c r="P13" s="4" t="inlineStr">
        <is>
          <t>₹5,000 flight voucher at ₹5 lakh annual spend and an additional ₹5,000 flight voucher at ₹7.5 lakh annual spend.</t>
        </is>
      </c>
      <c r="Q13" s="4" t="inlineStr"/>
      <c r="R13" s="4" t="inlineStr"/>
      <c r="S13" s="5" t="inlineStr">
        <is>
          <t>https://www.hdfc.bank.in/credit-cards/regalia-gold-credit-card
https://www.hdfc.bank.in/credit-cards</t>
        </is>
      </c>
      <c r="T13" s="2" t="inlineStr">
        <is>
          <t>Current official card material accessed 2026-09-09</t>
        </is>
      </c>
      <c r="U13" s="5" t="inlineStr">
        <is>
          <t>https://www.hdfc.bank.in/blogs/regalia-gold-credit-card/redeem-regalia-gold-credit-card-reward-points</t>
        </is>
      </c>
      <c r="V13" s="2" t="inlineStr">
        <is>
          <t>Official issuer</t>
        </is>
      </c>
      <c r="W13" s="2" t="inlineStr">
        <is>
          <t>2026-09-09</t>
        </is>
      </c>
      <c r="X13" s="2" t="inlineStr">
        <is>
          <t>Second-pass reward/cashback research; populated only from located source material.</t>
        </is>
      </c>
    </row>
    <row r="14" ht="46" customHeight="1">
      <c r="A14" s="2" t="inlineStr">
        <is>
          <t>HDFC Bank</t>
        </is>
      </c>
      <c r="B14" s="3" t="inlineStr">
        <is>
          <t>Selectable</t>
        </is>
      </c>
      <c r="C14" s="4" t="inlineStr">
        <is>
          <t>HDFC Bank Diners Club Privilege Credit Card</t>
        </is>
      </c>
      <c r="D14" s="4" t="inlineStr">
        <is>
          <t>Regular Reward Points on eligible spends; card-specific base rate is published on the product page.</t>
        </is>
      </c>
      <c r="E14" s="4" t="inlineStr">
        <is>
          <t>5X rewards on eligible Swiggy and Zomato spends (20 RP/₹150 in the cited card T&amp;C).</t>
        </is>
      </c>
      <c r="F14" s="4" t="inlineStr"/>
      <c r="G14" s="4" t="inlineStr">
        <is>
          <t>Incremental accelerated rewards capped at 2,500 RP/month.</t>
        </is>
      </c>
      <c r="H14" s="4" t="inlineStr">
        <is>
          <t>₹150 for the cited accelerated-reward calculation.</t>
        </is>
      </c>
      <c r="I14" s="4" t="inlineStr">
        <is>
          <t>Wallet spends excluded from the cited accelerated offer; merchant/category qualification may use MCC 5411, 5499, 5811, 5812, 5814 or issuer merchant identifiers.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5" t="inlineStr">
        <is>
          <t>https://www.hdfc.bank.in/credit-cards/diners-club-privilege-credit-card
https://www.hdfc.bank.in/credit-cards</t>
        </is>
      </c>
      <c r="T14" s="2" t="inlineStr">
        <is>
          <t>Current official product/T&amp;C accessed 2026-09-09</t>
        </is>
      </c>
    </row>
    <row r="15" ht="22" customHeight="1">
      <c r="A15" s="2" t="inlineStr">
        <is>
          <t>HDFC Bank</t>
        </is>
      </c>
      <c r="B15" s="3" t="inlineStr">
        <is>
          <t>Selectable</t>
        </is>
      </c>
      <c r="C15" s="4" t="inlineStr">
        <is>
          <t>Tata Neu Plus HDFC Bank Credit Card</t>
        </is>
      </c>
      <c r="D15" s="4" t="inlineStr">
        <is>
          <t>1% NeuCoins on eligible non-Tata spends.</t>
        </is>
      </c>
      <c r="E15" s="4" t="inlineStr">
        <is>
          <t>2% NeuCoins on eligible Tata brand spends plus additional rewards on selected Tata Neu transactions; eligible UPI spends earn up to 1%.</t>
        </is>
      </c>
      <c r="F15" s="4" t="inlineStr">
        <is>
          <t>1 NeuCoin = ₹1 in the Tata Neu ecosystem.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₹499 + applicable taxes (published HDFC MITC value).</t>
        </is>
      </c>
      <c r="M15" s="4" t="inlineStr">
        <is>
          <t>Annual fee waiver at ₹1 lakh eligible annual spend.</t>
        </is>
      </c>
      <c r="N15" s="4" t="inlineStr"/>
      <c r="O15" s="4" t="inlineStr"/>
      <c r="P15" s="4" t="inlineStr"/>
      <c r="Q15" s="4" t="inlineStr"/>
      <c r="R15" s="4" t="inlineStr"/>
      <c r="S15" s="5" t="inlineStr">
        <is>
          <t>https://www.hdfc.bank.in/credit-cards</t>
        </is>
      </c>
      <c r="T15" s="2" t="inlineStr">
        <is>
          <t>HDFC MITC updated 2025-07-14; catalogue accessed 2026-09-09</t>
        </is>
      </c>
      <c r="U15" s="5" t="inlineStr">
        <is>
          <t>https://www.hdfc.bank.in/credit-cards/tata-neu-plus-hdfc-bank-credit-card</t>
        </is>
      </c>
      <c r="V15" s="2" t="inlineStr">
        <is>
          <t>Official issuer</t>
        </is>
      </c>
      <c r="W15" s="2" t="inlineStr">
        <is>
          <t>2026-09-09</t>
        </is>
      </c>
      <c r="X15" s="2" t="inlineStr">
        <is>
          <t>Second-pass reward/cashback research; populated only from located source material.</t>
        </is>
      </c>
    </row>
    <row r="16" ht="22" customHeight="1">
      <c r="A16" s="2" t="inlineStr">
        <is>
          <t>HDFC Bank</t>
        </is>
      </c>
      <c r="B16" s="3" t="inlineStr">
        <is>
          <t>Selectable</t>
        </is>
      </c>
      <c r="C16" s="4" t="inlineStr">
        <is>
          <t>Swiggy HDFC Bank Credit Card</t>
        </is>
      </c>
      <c r="D16" s="4" t="inlineStr">
        <is>
          <t>1% cashback on other eligible spends.</t>
        </is>
      </c>
      <c r="E16" s="4" t="inlineStr">
        <is>
          <t>10% cashback on eligible Swiggy spends and 5% on specified online categories/merchants.</t>
        </is>
      </c>
      <c r="F16" s="4" t="inlineStr"/>
      <c r="G16" s="4" t="inlineStr">
        <is>
          <t>Current issuer page states category-wise statement-cycle caps, including up to ₹1,500 for Swiggy, up to ₹1,500 for the 5% online bucket and up to ₹500 for the 1% bucket.</t>
        </is>
      </c>
      <c r="H16" s="4" t="inlineStr"/>
      <c r="I16" s="4" t="inlineStr"/>
      <c r="J16" s="4" t="inlineStr"/>
      <c r="K16" s="4" t="inlineStr"/>
      <c r="L16" s="4" t="inlineStr">
        <is>
          <t>₹500 + applicable taxes.</t>
        </is>
      </c>
      <c r="M16" s="4" t="inlineStr">
        <is>
          <t>Annual fee waiver at ₹2 lakh eligible annual spend.</t>
        </is>
      </c>
      <c r="N16" s="4" t="inlineStr"/>
      <c r="O16" s="4" t="inlineStr"/>
      <c r="P16" s="4" t="inlineStr"/>
      <c r="Q16" s="4" t="inlineStr"/>
      <c r="R16" s="4" t="inlineStr"/>
      <c r="S16" s="5" t="inlineStr">
        <is>
          <t>https://www.hdfc.bank.in/credit-cards</t>
        </is>
      </c>
      <c r="T16" s="2" t="inlineStr">
        <is>
          <t>HDFC MITC updated 2025-07-14; catalogue accessed 2026-09-09</t>
        </is>
      </c>
      <c r="U16" s="5" t="inlineStr">
        <is>
          <t>https://www.hdfc.bank.in/credit-cards/swiggy-hdfc-bank-credit-card</t>
        </is>
      </c>
      <c r="V16" s="2" t="inlineStr">
        <is>
          <t>Official issuer</t>
        </is>
      </c>
      <c r="W16" s="2" t="inlineStr">
        <is>
          <t>2026-09-09</t>
        </is>
      </c>
      <c r="X16" s="2" t="inlineStr">
        <is>
          <t>Second-pass reward/cashback research; populated only from located source material.</t>
        </is>
      </c>
    </row>
    <row r="17" ht="22" customHeight="1">
      <c r="A17" s="2" t="inlineStr">
        <is>
          <t>HDFC Bank</t>
        </is>
      </c>
      <c r="B17" s="3" t="inlineStr">
        <is>
          <t>Selectable</t>
        </is>
      </c>
      <c r="C17" s="4" t="inlineStr">
        <is>
          <t>Swiggy Ornge HDFC Bank Credit Card</t>
        </is>
      </c>
      <c r="D17" s="4" t="inlineStr">
        <is>
          <t>1% cashback on eligible other spends.</t>
        </is>
      </c>
      <c r="E17" s="4" t="inlineStr">
        <is>
          <t>5% cashback on eligible Swiggy spends and 5% on selected online merchants/categories.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5" t="inlineStr">
        <is>
          <t>https://www.hdfc.bank.in/credit-cards</t>
        </is>
      </c>
      <c r="T17" s="2" t="inlineStr">
        <is>
          <t>Current official catalogue accessed 2026-09-09</t>
        </is>
      </c>
      <c r="U17" s="5" t="inlineStr">
        <is>
          <t>https://www.hdfc.bank.in/credit-cards/swiggy-ornge-hdfc-bank-credit-card</t>
        </is>
      </c>
      <c r="V17" s="2" t="inlineStr">
        <is>
          <t>Official issuer</t>
        </is>
      </c>
      <c r="W17" s="2" t="inlineStr">
        <is>
          <t>2026-09-09</t>
        </is>
      </c>
      <c r="X17" s="2" t="inlineStr">
        <is>
          <t>Second-pass reward/cashback research; populated only from located source material.</t>
        </is>
      </c>
    </row>
    <row r="18" ht="22" customHeight="1">
      <c r="A18" s="2" t="inlineStr">
        <is>
          <t>HDFC Bank</t>
        </is>
      </c>
      <c r="B18" s="3" t="inlineStr">
        <is>
          <t>Selectable</t>
        </is>
      </c>
      <c r="C18" s="4" t="inlineStr">
        <is>
          <t>Swiggy BLCK HDFC Bank Credit Card</t>
        </is>
      </c>
      <c r="D18" s="4" t="inlineStr">
        <is>
          <t>1% cashback on eligible other spends.</t>
        </is>
      </c>
      <c r="E18" s="4" t="inlineStr">
        <is>
          <t>10% cashback on eligible Swiggy spends and 5% on selected online merchants/categories.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5" t="inlineStr">
        <is>
          <t>https://www.hdfc.bank.in/credit-cards</t>
        </is>
      </c>
      <c r="T18" s="2" t="inlineStr">
        <is>
          <t>Current official catalogue accessed 2026-09-09</t>
        </is>
      </c>
      <c r="U18" s="5" t="inlineStr">
        <is>
          <t>https://www.hdfc.bank.in/credit-cards/swiggy-blck-hdfc-bank-credit-card</t>
        </is>
      </c>
      <c r="V18" s="2" t="inlineStr">
        <is>
          <t>Official issuer</t>
        </is>
      </c>
      <c r="W18" s="2" t="inlineStr">
        <is>
          <t>2026-09-09</t>
        </is>
      </c>
      <c r="X18" s="2" t="inlineStr">
        <is>
          <t>Second-pass reward/cashback research; populated only from located source material.</t>
        </is>
      </c>
    </row>
    <row r="19" ht="22" customHeight="1">
      <c r="A19" s="2" t="inlineStr">
        <is>
          <t>HDFC Bank</t>
        </is>
      </c>
      <c r="B19" s="3" t="inlineStr">
        <is>
          <t>Selectable</t>
        </is>
      </c>
      <c r="C19" s="4" t="inlineStr">
        <is>
          <t>Marriott Bonvoy HDFC Bank Credit Card</t>
        </is>
      </c>
      <c r="D19" s="4" t="inlineStr">
        <is>
          <t>2 Marriott Bonvoy points per ₹150 on eligible spends.</t>
        </is>
      </c>
      <c r="E19" s="4" t="inlineStr">
        <is>
          <t>8 Marriott Bonvoy points per ₹150 at participating Marriott hotels; 4 points per ₹150 on eligible travel, dining and entertainment categories.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₹3,000 + applicable taxes.</t>
        </is>
      </c>
      <c r="M19" s="4" t="inlineStr">
        <is>
          <t>No annual-fee waiver stated in cited HDFC MITC.</t>
        </is>
      </c>
      <c r="N19" s="4" t="inlineStr"/>
      <c r="O19" s="4" t="inlineStr"/>
      <c r="P19" s="4" t="inlineStr"/>
      <c r="Q19" s="4" t="inlineStr"/>
      <c r="R19" s="4" t="inlineStr"/>
      <c r="S19" s="5" t="inlineStr">
        <is>
          <t>https://www.hdfc.bank.in/credit-cards</t>
        </is>
      </c>
      <c r="T19" s="2" t="inlineStr">
        <is>
          <t>HDFC MITC updated 2025-07-14; catalogue accessed 2026-09-09</t>
        </is>
      </c>
      <c r="U19" s="5" t="inlineStr">
        <is>
          <t>https://www.hdfc.bank.in/credit-cards/marriott-bonvoy-credit-card</t>
        </is>
      </c>
      <c r="V19" s="2" t="inlineStr">
        <is>
          <t>Official issuer</t>
        </is>
      </c>
      <c r="W19" s="2" t="inlineStr">
        <is>
          <t>2026-09-09</t>
        </is>
      </c>
      <c r="X19" s="2" t="inlineStr">
        <is>
          <t>Second-pass reward/cashback research; populated only from located source material.</t>
        </is>
      </c>
    </row>
    <row r="20" ht="22" customHeight="1">
      <c r="A20" s="2" t="inlineStr">
        <is>
          <t>HDFC Bank</t>
        </is>
      </c>
      <c r="B20" s="3" t="inlineStr">
        <is>
          <t>Selectable</t>
        </is>
      </c>
      <c r="C20" s="4" t="inlineStr">
        <is>
          <t>IRCTC HDFC Bank Credit Card</t>
        </is>
      </c>
      <c r="D20" s="4" t="inlineStr">
        <is>
          <t>1 Reward Point per ₹100 on eligible spends.</t>
        </is>
      </c>
      <c r="E20" s="4" t="inlineStr">
        <is>
          <t>5 Reward Points per ₹100 on eligible IRCTC train-ticket spends plus eligible SmartBuy benefits.</t>
        </is>
      </c>
      <c r="F20" s="4" t="inlineStr">
        <is>
          <t>1 Reward Point = ₹1 when used for eligible train-ticket redemption through the specified HDFC/IRCTC channel.</t>
        </is>
      </c>
      <c r="G20" s="4" t="inlineStr">
        <is>
          <t>Accelerated IRCTC rewards capped at 1,000 Reward Points/month and 12,000/year under issuer terms.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5" t="inlineStr">
        <is>
          <t>https://www.hdfc.bank.in/credit-cards</t>
        </is>
      </c>
      <c r="T20" s="2" t="inlineStr">
        <is>
          <t>Current official catalogue accessed 2026-09-09</t>
        </is>
      </c>
      <c r="U20" s="5" t="inlineStr">
        <is>
          <t>https://www.hdfc.bank.in/credit-cards/irctc-credit-card</t>
        </is>
      </c>
      <c r="V20" s="2" t="inlineStr">
        <is>
          <t>Official issuer</t>
        </is>
      </c>
      <c r="W20" s="2" t="inlineStr">
        <is>
          <t>2026-09-09</t>
        </is>
      </c>
      <c r="X20" s="2" t="inlineStr">
        <is>
          <t>Second-pass reward/cashback research; populated only from located source material.</t>
        </is>
      </c>
    </row>
    <row r="21" ht="22" customHeight="1">
      <c r="A21" s="2" t="inlineStr">
        <is>
          <t>HDFC Bank</t>
        </is>
      </c>
      <c r="B21" s="3" t="inlineStr">
        <is>
          <t>Selectable</t>
        </is>
      </c>
      <c r="C21" s="4" t="inlineStr">
        <is>
          <t>HDFC Bank INFINIA Metal Edition Credit Card</t>
        </is>
      </c>
      <c r="D21" s="4" t="inlineStr">
        <is>
          <t>5 Reward Points per ₹150 on eligible retail spends.</t>
        </is>
      </c>
      <c r="E21" s="4" t="inlineStr">
        <is>
          <t>Up to 10X Reward Points on eligible SmartBuy spends.</t>
        </is>
      </c>
      <c r="F21" s="4" t="inlineStr">
        <is>
          <t>Up to ₹1/point for eligible flight/hotel redemption; airline-mile transfer can be up to 1:1; catalogue about ₹0.50 and cashback about ₹0.30 per point.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5" t="inlineStr">
        <is>
          <t>https://www.hdfc.bank.in/credit-cards</t>
        </is>
      </c>
      <c r="T21" s="2" t="inlineStr">
        <is>
          <t>Current official catalogue accessed 2026-09-09</t>
        </is>
      </c>
      <c r="U21" s="5" t="inlineStr">
        <is>
          <t>https://www.hdfc.bank.in/credit-cards/infinia-credit-card</t>
        </is>
      </c>
      <c r="V21" s="2" t="inlineStr">
        <is>
          <t>Official issuer</t>
        </is>
      </c>
      <c r="W21" s="2" t="inlineStr">
        <is>
          <t>2026-09-09</t>
        </is>
      </c>
      <c r="X21" s="2" t="inlineStr">
        <is>
          <t>Second-pass reward/cashback research; populated only from located source material.</t>
        </is>
      </c>
    </row>
    <row r="22" ht="46" customHeight="1">
      <c r="A22" s="2" t="inlineStr">
        <is>
          <t>ICICI Bank</t>
        </is>
      </c>
      <c r="B22" s="3" t="inlineStr">
        <is>
          <t>Selectable</t>
        </is>
      </c>
      <c r="C22" s="4" t="inlineStr">
        <is>
          <t>Amazon Pay ICICI Bank Credit Card</t>
        </is>
      </c>
      <c r="D22" s="4" t="inlineStr">
        <is>
          <t>1% cashback on eligible payments outside Amazon/partner acceleration.</t>
        </is>
      </c>
      <c r="E22" s="4" t="inlineStr">
        <is>
          <t>5% cashback on Amazon for eligible Prime members; 3% for eligible non-Prime Amazon purchases; 2% on 100+ eligible Amazon Pay partner merchants; some Amazon digital/gift-card categories earn 2%.</t>
        </is>
      </c>
      <c r="F22" s="4" t="inlineStr">
        <is>
          <t>N/A – cashback is credited as Amazon Pay balance/cashback per programme terms.</t>
        </is>
      </c>
      <c r="G22" s="4" t="inlineStr">
        <is>
          <t>No general cashback cap stated on the official card page; cashback does not expire under the programme.</t>
        </is>
      </c>
      <c r="H22" s="4" t="inlineStr"/>
      <c r="I22" s="4" t="inlineStr">
        <is>
          <t>No cashback on rent or fuel; specified gold/silver/precious-metal/tax categories and Amazon EMI are excluded under current programme terms.</t>
        </is>
      </c>
      <c r="J22" s="4" t="inlineStr"/>
      <c r="K22" s="4" t="inlineStr">
        <is>
          <t>Nil</t>
        </is>
      </c>
      <c r="L22" s="4" t="inlineStr">
        <is>
          <t>Nil</t>
        </is>
      </c>
      <c r="M22" s="4" t="inlineStr"/>
      <c r="N22" s="4" t="inlineStr"/>
      <c r="O22" s="4" t="inlineStr"/>
      <c r="P22" s="4" t="inlineStr"/>
      <c r="Q22" s="4" t="inlineStr">
        <is>
          <t>1% fuel surcharge waiver subject to issuer terms.</t>
        </is>
      </c>
      <c r="R22" s="4" t="inlineStr"/>
      <c r="S22" s="5" t="inlineStr">
        <is>
          <t>https://www.icicibank.com/personal-banking/cards/credit-card</t>
        </is>
      </c>
      <c r="T22" s="2" t="inlineStr">
        <is>
          <t>Current official product/FAQ accessed 2026-09-09</t>
        </is>
      </c>
    </row>
    <row r="23" ht="34" customHeight="1">
      <c r="A23" s="2" t="inlineStr">
        <is>
          <t>ICICI Bank</t>
        </is>
      </c>
      <c r="B23" s="3" t="inlineStr">
        <is>
          <t>Selectable</t>
        </is>
      </c>
      <c r="C23" s="4" t="inlineStr">
        <is>
          <t>ICICI Bank Coral Credit Card</t>
        </is>
      </c>
      <c r="D23" s="4" t="inlineStr">
        <is>
          <t>2 Reward Points per ₹100 on eligible retail spends; 1 Reward Point per ₹100 on utilities and insurance.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>
        <is>
          <t>₹500 + GST</t>
        </is>
      </c>
      <c r="L23" s="4" t="inlineStr">
        <is>
          <t>₹500 + GST</t>
        </is>
      </c>
      <c r="M23" s="4" t="inlineStr">
        <is>
          <t>Annual fee waived on eligible annual spend above ₹1.5 lakh.</t>
        </is>
      </c>
      <c r="N23" s="4" t="inlineStr"/>
      <c r="O23" s="4" t="inlineStr">
        <is>
          <t>Domestic lounge access subject to ₹75,000 spend in the preceding calendar quarter; 1 railway lounge visit/quarter under current programme terms.</t>
        </is>
      </c>
      <c r="P23" s="4" t="inlineStr"/>
      <c r="Q23" s="4" t="inlineStr">
        <is>
          <t>1% waiver on eligible HPCL transactions of ₹400–₹4,000 at ICICI merchant terminals.</t>
        </is>
      </c>
      <c r="R23" s="4" t="inlineStr"/>
      <c r="S23" s="5" t="inlineStr">
        <is>
          <t>https://www.icicibank.com/personal-banking/cards/credit-card</t>
        </is>
      </c>
      <c r="T23" s="2" t="inlineStr">
        <is>
          <t>Current official product material accessed 2026-09-09</t>
        </is>
      </c>
      <c r="U23" s="5" t="inlineStr">
        <is>
          <t>https://www.icici.bank.in/personal-banking/cards/credit-card/coral-credit-card</t>
        </is>
      </c>
      <c r="V23" s="2" t="inlineStr">
        <is>
          <t>Official issuer</t>
        </is>
      </c>
      <c r="W23" s="2" t="inlineStr">
        <is>
          <t>2026-09-09</t>
        </is>
      </c>
      <c r="X23" s="2" t="inlineStr">
        <is>
          <t>Second-pass reward/cashback research; populated only from located source material.</t>
        </is>
      </c>
    </row>
    <row r="24" ht="46" customHeight="1">
      <c r="A24" s="2" t="inlineStr">
        <is>
          <t>ICICI Bank</t>
        </is>
      </c>
      <c r="B24" s="3" t="inlineStr">
        <is>
          <t>Selectable</t>
        </is>
      </c>
      <c r="C24" s="4" t="inlineStr">
        <is>
          <t>ICICI Bank Sapphiro Credit Card</t>
        </is>
      </c>
      <c r="D24" s="4" t="inlineStr">
        <is>
          <t>2 Reward Points per ₹100 on eligible domestic spends and 4 per ₹100 on eligible international spends; 1 per ₹100 on utilities/insurance.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>
        <is>
          <t>₹6,500 + GST</t>
        </is>
      </c>
      <c r="L24" s="4" t="inlineStr">
        <is>
          <t>₹3,500 + GST</t>
        </is>
      </c>
      <c r="M24" s="4" t="inlineStr">
        <is>
          <t>Annual fee waived on eligible annual spend above ₹6 lakh.</t>
        </is>
      </c>
      <c r="N24" s="4" t="inlineStr"/>
      <c r="O24" s="4" t="inlineStr">
        <is>
          <t>Domestic lounge access subject to ₹75,000 previous-quarter spend; current card material also provides international lounge access. Duo variants may carry separate network entitlements.</t>
        </is>
      </c>
      <c r="P24" s="4" t="inlineStr"/>
      <c r="Q24" s="4" t="inlineStr"/>
      <c r="R24" s="4" t="inlineStr">
        <is>
          <t>Golf entitlement linked to previous-month spend under current programme.</t>
        </is>
      </c>
      <c r="S24" s="5" t="inlineStr">
        <is>
          <t>https://www.icicibank.com/personal-banking/cards/credit-card</t>
        </is>
      </c>
      <c r="T24" s="2" t="inlineStr">
        <is>
          <t>Current official product material accessed 2026-09-09</t>
        </is>
      </c>
      <c r="U24" s="5" t="inlineStr">
        <is>
          <t>https://www.icici.bank.in/personal-banking/cards/credit-card</t>
        </is>
      </c>
      <c r="V24" s="2" t="inlineStr">
        <is>
          <t>Official issuer</t>
        </is>
      </c>
      <c r="W24" s="2" t="inlineStr">
        <is>
          <t>2026-09-09</t>
        </is>
      </c>
      <c r="X24" s="2" t="inlineStr">
        <is>
          <t>Second-pass reward/cashback research; populated only from located source material.</t>
        </is>
      </c>
    </row>
    <row r="25" ht="22" customHeight="1">
      <c r="A25" s="2" t="inlineStr">
        <is>
          <t>ICICI Bank</t>
        </is>
      </c>
      <c r="B25" s="3" t="inlineStr">
        <is>
          <t>Selectable</t>
        </is>
      </c>
      <c r="C25" s="4" t="inlineStr">
        <is>
          <t>Times Black ICICI Bank Credit Card</t>
        </is>
      </c>
      <c r="D25" s="4" t="inlineStr">
        <is>
          <t>Reward earn equivalent to about 2% on eligible domestic spends and 2.5% on eligible international spends.</t>
        </is>
      </c>
      <c r="E25" s="4" t="inlineStr">
        <is>
          <t>Up to 6X on eligible flight/voucher bookings and up to 12X on hotels through eligible iShop channels.</t>
        </is>
      </c>
      <c r="F25" s="4" t="inlineStr">
        <is>
          <t>1 Reward Point can be worth up to ₹1 on selected products/vouchers; statement cashback value is lower (about ₹0.40/point).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>1.49%</t>
        </is>
      </c>
      <c r="O25" s="4" t="inlineStr"/>
      <c r="P25" s="4" t="inlineStr"/>
      <c r="Q25" s="4" t="inlineStr"/>
      <c r="R25" s="4" t="inlineStr"/>
      <c r="S25" s="5" t="inlineStr">
        <is>
          <t>https://www.icicibank.com/personal-banking/cards/credit-card</t>
        </is>
      </c>
      <c r="T25" s="2" t="inlineStr">
        <is>
          <t>Current official product material accessed 2026-09-09</t>
        </is>
      </c>
      <c r="U25" s="5" t="inlineStr">
        <is>
          <t>https://www.icici.bank.in/personal-banking/cards/credit-card/times-black-icici-credit-card</t>
        </is>
      </c>
      <c r="V25" s="2" t="inlineStr">
        <is>
          <t>Official issuer</t>
        </is>
      </c>
      <c r="W25" s="2" t="inlineStr">
        <is>
          <t>2026-09-09</t>
        </is>
      </c>
      <c r="X25" s="2" t="inlineStr">
        <is>
          <t>Second-pass reward/cashback research; populated only from located source material.</t>
        </is>
      </c>
    </row>
    <row r="26" ht="34" customHeight="1">
      <c r="A26" s="2" t="inlineStr">
        <is>
          <t>ICICI Bank</t>
        </is>
      </c>
      <c r="B26" s="3" t="inlineStr">
        <is>
          <t>Selectable</t>
        </is>
      </c>
      <c r="C26" s="4" t="inlineStr">
        <is>
          <t>ICICI Bank Emeralde Credit Card</t>
        </is>
      </c>
      <c r="D26" s="4" t="inlineStr">
        <is>
          <t>4 Reward Points per ₹100 on eligible domestic and international retail spends; lower earn on utilities/insurance.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>
        <is>
          <t>1% fuel surcharge waiver on eligible fuel transactions up to ₹4,000, subject to current terms.</t>
        </is>
      </c>
      <c r="R26" s="4" t="inlineStr"/>
      <c r="S26" s="5" t="inlineStr">
        <is>
          <t>https://www.icicibank.com/personal-banking/cards/credit-card</t>
        </is>
      </c>
      <c r="T26" s="2" t="inlineStr">
        <is>
          <t>Current official product material accessed 2026-09-09</t>
        </is>
      </c>
      <c r="U26" s="5" t="inlineStr">
        <is>
          <t>https://www.icici.bank.in/personal-banking/cards/credit-card</t>
        </is>
      </c>
      <c r="V26" s="2" t="inlineStr">
        <is>
          <t>Official issuer</t>
        </is>
      </c>
      <c r="W26" s="2" t="inlineStr">
        <is>
          <t>2026-09-09</t>
        </is>
      </c>
      <c r="X26" s="2" t="inlineStr">
        <is>
          <t>Second-pass reward/cashback research; populated only from located source material.</t>
        </is>
      </c>
    </row>
    <row r="27" ht="22" customHeight="1">
      <c r="A27" s="2" t="inlineStr">
        <is>
          <t>ICICI Bank</t>
        </is>
      </c>
      <c r="B27" s="3" t="inlineStr">
        <is>
          <t>Selectable</t>
        </is>
      </c>
      <c r="C27" s="4" t="inlineStr">
        <is>
          <t>ICICI Bank Rubyx Credit Card</t>
        </is>
      </c>
      <c r="D27" s="4" t="inlineStr">
        <is>
          <t>2 Reward Points per ₹100 on eligible domestic spends and 4 per ₹100 on eligible international spends; 1 per ₹100 on utilities/insurance.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5" t="inlineStr">
        <is>
          <t>https://www.icicibank.com/personal-banking/cards/credit-card</t>
        </is>
      </c>
      <c r="T27" s="2" t="inlineStr">
        <is>
          <t>Current official catalogue accessed 2026-09-09</t>
        </is>
      </c>
      <c r="U27" s="5" t="inlineStr">
        <is>
          <t>https://www.icici.bank.in/personal-banking/cards/credit-card</t>
        </is>
      </c>
      <c r="V27" s="2" t="inlineStr">
        <is>
          <t>Official issuer</t>
        </is>
      </c>
      <c r="W27" s="2" t="inlineStr">
        <is>
          <t>2026-09-09</t>
        </is>
      </c>
      <c r="X27" s="2" t="inlineStr">
        <is>
          <t>Second-pass reward/cashback research; populated only from located source material.</t>
        </is>
      </c>
    </row>
    <row r="28" ht="22" customHeight="1">
      <c r="A28" s="2" t="inlineStr">
        <is>
          <t>ICICI Bank</t>
        </is>
      </c>
      <c r="B28" s="3" t="inlineStr">
        <is>
          <t>Selectable</t>
        </is>
      </c>
      <c r="C28" s="4" t="inlineStr">
        <is>
          <t>ICICI Bank Platinum Chip Credit Card</t>
        </is>
      </c>
      <c r="D28" s="4" t="inlineStr">
        <is>
          <t>2 Reward Points per ₹100 on eligible retail spends; 1 Reward Point per ₹100 on utilities and insurance.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>
        <is>
          <t>Nil</t>
        </is>
      </c>
      <c r="L28" s="4" t="inlineStr">
        <is>
          <t>Nil</t>
        </is>
      </c>
      <c r="M28" s="4" t="inlineStr"/>
      <c r="N28" s="4" t="inlineStr"/>
      <c r="O28" s="4" t="inlineStr"/>
      <c r="P28" s="4" t="inlineStr"/>
      <c r="Q28" s="4" t="inlineStr">
        <is>
          <t>Fuel-surcharge waiver available subject to current ICICI terms.</t>
        </is>
      </c>
      <c r="R28" s="4" t="inlineStr"/>
      <c r="S28" s="5" t="inlineStr">
        <is>
          <t>https://www.icicibank.com/personal-banking/cards/credit-card</t>
        </is>
      </c>
      <c r="T28" s="2" t="inlineStr">
        <is>
          <t>Current official product page accessed 2026-09-09</t>
        </is>
      </c>
      <c r="U28" s="5" t="inlineStr">
        <is>
          <t>https://www.icici.bank.in/personal-banking/cards/credit-card/platinum-chip-credit-card</t>
        </is>
      </c>
      <c r="V28" s="2" t="inlineStr">
        <is>
          <t>Official issuer</t>
        </is>
      </c>
      <c r="W28" s="2" t="inlineStr">
        <is>
          <t>2026-09-09</t>
        </is>
      </c>
      <c r="X28" s="2" t="inlineStr">
        <is>
          <t>Second-pass reward/cashback research; populated only from located source material.</t>
        </is>
      </c>
    </row>
    <row r="29" ht="34" customHeight="1">
      <c r="A29" s="2" t="inlineStr">
        <is>
          <t>ICICI Bank</t>
        </is>
      </c>
      <c r="B29" s="3" t="inlineStr">
        <is>
          <t>Selectable</t>
        </is>
      </c>
      <c r="C29" s="4" t="inlineStr">
        <is>
          <t>Adani One ICICI Bank Signature Credit Card</t>
        </is>
      </c>
      <c r="D29" s="4" t="inlineStr">
        <is>
          <t>1.5% Adani Reward Points/value on eligible domestic spends and 2% on eligible international spends.</t>
        </is>
      </c>
      <c r="E29" s="4" t="inlineStr">
        <is>
          <t>Up to 7% reward value on eligible Adani One ecosystem spends.</t>
        </is>
      </c>
      <c r="F29" s="4" t="inlineStr"/>
      <c r="G29" s="4" t="inlineStr"/>
      <c r="H29" s="4" t="inlineStr"/>
      <c r="I29" s="4" t="inlineStr"/>
      <c r="J29" s="4" t="inlineStr"/>
      <c r="K29" s="4" t="inlineStr">
        <is>
          <t>₹5,000 + GST</t>
        </is>
      </c>
      <c r="L29" s="4" t="inlineStr">
        <is>
          <t>₹5,000 + GST</t>
        </is>
      </c>
      <c r="M29" s="4" t="inlineStr"/>
      <c r="N29" s="4" t="inlineStr"/>
      <c r="O29" s="4" t="inlineStr">
        <is>
          <t>Airport/co-brand benefits include lounge/airport-service entitlements as published for the card.</t>
        </is>
      </c>
      <c r="P29" s="4" t="inlineStr">
        <is>
          <t>Welcome flight voucher benefit linked to fee payment and ₹25,000 eligible spend within 60 days, subject to current terms.</t>
        </is>
      </c>
      <c r="Q29" s="4" t="inlineStr"/>
      <c r="R29" s="4" t="inlineStr">
        <is>
          <t>Includes Adani airport services such as Pranaam/Porter/parking entitlements under current programme terms.</t>
        </is>
      </c>
      <c r="S29" s="5" t="inlineStr">
        <is>
          <t>https://www.icicibank.com/personal-banking/cards/credit-card</t>
        </is>
      </c>
      <c r="T29" s="2" t="inlineStr">
        <is>
          <t>Current official co-brand page accessed 2026-09-09</t>
        </is>
      </c>
      <c r="U29" s="5" t="inlineStr">
        <is>
          <t>https://www.icici.bank.in/personal-banking/cards/credit-card/adani-icici-credit-card/signature-credit-card</t>
        </is>
      </c>
      <c r="V29" s="2" t="inlineStr">
        <is>
          <t>Official issuer</t>
        </is>
      </c>
      <c r="W29" s="2" t="inlineStr">
        <is>
          <t>2026-09-09</t>
        </is>
      </c>
      <c r="X29" s="2" t="inlineStr">
        <is>
          <t>Second-pass reward/cashback research; populated only from located source material.</t>
        </is>
      </c>
    </row>
    <row r="30" ht="34" customHeight="1">
      <c r="A30" s="2" t="inlineStr">
        <is>
          <t>ICICI Bank</t>
        </is>
      </c>
      <c r="B30" s="3" t="inlineStr">
        <is>
          <t>Selectable</t>
        </is>
      </c>
      <c r="C30" s="4" t="inlineStr">
        <is>
          <t>Adani One ICICI Bank Platinum Credit Card</t>
        </is>
      </c>
      <c r="D30" s="4" t="inlineStr">
        <is>
          <t>1% Adani Reward Points/value on eligible domestic spends and 1.5% on eligible international spends.</t>
        </is>
      </c>
      <c r="E30" s="4" t="inlineStr">
        <is>
          <t>Up to 3% reward value on eligible Adani One ecosystem spends.</t>
        </is>
      </c>
      <c r="F30" s="4" t="inlineStr"/>
      <c r="G30" s="4" t="inlineStr"/>
      <c r="H30" s="4" t="inlineStr"/>
      <c r="I30" s="4" t="inlineStr"/>
      <c r="J30" s="4" t="inlineStr"/>
      <c r="K30" s="4" t="inlineStr">
        <is>
          <t>₹750 + GST</t>
        </is>
      </c>
      <c r="L30" s="4" t="inlineStr">
        <is>
          <t>₹750 + GST</t>
        </is>
      </c>
      <c r="M30" s="4" t="inlineStr"/>
      <c r="N30" s="4" t="inlineStr"/>
      <c r="O30" s="4" t="inlineStr"/>
      <c r="P30" s="4" t="inlineStr"/>
      <c r="Q30" s="4" t="inlineStr"/>
      <c r="R30" s="4" t="inlineStr">
        <is>
          <t>Current official co-brand material includes domestic lounge and Adani airport-service benefits such as Porter/premium parking.</t>
        </is>
      </c>
      <c r="S30" s="5" t="inlineStr">
        <is>
          <t>https://www.icicibank.com/personal-banking/cards/credit-card</t>
        </is>
      </c>
      <c r="T30" s="2" t="inlineStr">
        <is>
          <t>Current official co-brand page accessed 2026-09-09</t>
        </is>
      </c>
      <c r="U30" s="5" t="inlineStr">
        <is>
          <t>https://www.icici.bank.in/personal-banking/cards/credit-card/adani-icici-credit-card/platinum-credit-card</t>
        </is>
      </c>
      <c r="V30" s="2" t="inlineStr">
        <is>
          <t>Official issuer</t>
        </is>
      </c>
      <c r="W30" s="2" t="inlineStr">
        <is>
          <t>2026-09-09</t>
        </is>
      </c>
      <c r="X30" s="2" t="inlineStr">
        <is>
          <t>Second-pass reward/cashback research; populated only from located source material.</t>
        </is>
      </c>
    </row>
    <row r="31" ht="34" customHeight="1">
      <c r="A31" s="2" t="inlineStr">
        <is>
          <t>ICICI Bank</t>
        </is>
      </c>
      <c r="B31" s="3" t="inlineStr">
        <is>
          <t>Selectable</t>
        </is>
      </c>
      <c r="C31" s="4" t="inlineStr">
        <is>
          <t>MakeMyTrip ICICI Bank Credit Card</t>
        </is>
      </c>
      <c r="D31" s="4" t="inlineStr"/>
      <c r="E31" s="4" t="inlineStr">
        <is>
          <t>Up to 6% myCash on eligible MakeMyTrip transactions, subject to category/booking terms.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0.99%</t>
        </is>
      </c>
      <c r="O31" s="4" t="inlineStr">
        <is>
          <t>Official card material advertises 8 domestic and 1 international lounge visit/year, subject to conditions.</t>
        </is>
      </c>
      <c r="P31" s="4" t="inlineStr"/>
      <c r="Q31" s="4" t="inlineStr"/>
      <c r="R31" s="4" t="inlineStr">
        <is>
          <t>MakeMyTrip joining/annual-voucher benefits and MMTBLACK Gold-related travel benefits under current terms.</t>
        </is>
      </c>
      <c r="S31" s="5" t="inlineStr">
        <is>
          <t>https://www.icicibank.com/personal-banking/cards/credit-card</t>
        </is>
      </c>
      <c r="T31" s="2" t="inlineStr">
        <is>
          <t>Current official product page accessed 2026-09-09</t>
        </is>
      </c>
    </row>
    <row r="32" ht="22" customHeight="1">
      <c r="A32" s="2" t="inlineStr">
        <is>
          <t>ICICI Bank</t>
        </is>
      </c>
      <c r="B32" s="3" t="inlineStr">
        <is>
          <t>Selectable</t>
        </is>
      </c>
      <c r="C32" s="4" t="inlineStr">
        <is>
          <t>Emirates ICICI Bank Emeralde Credit Card</t>
        </is>
      </c>
      <c r="D32" s="4" t="inlineStr">
        <is>
          <t>2 Emirates Skywards Miles per ₹100 on eligible domestic and international spends.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5" t="inlineStr">
        <is>
          <t>https://www.icicibank.com/personal-banking/cards/credit-card</t>
        </is>
      </c>
      <c r="T32" s="2" t="inlineStr">
        <is>
          <t>Current official catalogue accessed 2026-09-09</t>
        </is>
      </c>
      <c r="U32" s="5" t="inlineStr">
        <is>
          <t>https://www.icici.bank.in/personal-banking/cards/credit-card/emirates-skywards/emirates-emeralde</t>
        </is>
      </c>
      <c r="V32" s="2" t="inlineStr">
        <is>
          <t>Official issuer</t>
        </is>
      </c>
      <c r="W32" s="2" t="inlineStr">
        <is>
          <t>2026-09-09</t>
        </is>
      </c>
      <c r="X32" s="2" t="inlineStr">
        <is>
          <t>Second-pass reward/cashback research; populated only from located source material.</t>
        </is>
      </c>
    </row>
    <row r="33" ht="22" customHeight="1">
      <c r="A33" s="2" t="inlineStr">
        <is>
          <t>ICICI Bank</t>
        </is>
      </c>
      <c r="B33" s="3" t="inlineStr">
        <is>
          <t>Selectable</t>
        </is>
      </c>
      <c r="C33" s="4" t="inlineStr">
        <is>
          <t>Emirates ICICI Bank Sapphiro Credit Card</t>
        </is>
      </c>
      <c r="D33" s="4" t="inlineStr">
        <is>
          <t>1.5 Emirates Skywards Miles per ₹100 on eligible spends.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5" t="inlineStr">
        <is>
          <t>https://www.icicibank.com/personal-banking/cards/credit-card</t>
        </is>
      </c>
      <c r="T33" s="2" t="inlineStr">
        <is>
          <t>Current official catalogue accessed 2026-09-09</t>
        </is>
      </c>
      <c r="U33" s="5" t="inlineStr">
        <is>
          <t>https://www.icici.bank.in/personal-banking/cards/credit-card</t>
        </is>
      </c>
      <c r="V33" s="2" t="inlineStr">
        <is>
          <t>Official issuer</t>
        </is>
      </c>
      <c r="W33" s="2" t="inlineStr">
        <is>
          <t>2026-09-09</t>
        </is>
      </c>
      <c r="X33" s="2" t="inlineStr">
        <is>
          <t>Second-pass reward/cashback research; populated only from located source material.</t>
        </is>
      </c>
    </row>
    <row r="34" ht="34" customHeight="1">
      <c r="A34" s="2" t="inlineStr">
        <is>
          <t>ICICI Bank</t>
        </is>
      </c>
      <c r="B34" s="3" t="inlineStr">
        <is>
          <t>Selectable</t>
        </is>
      </c>
      <c r="C34" s="4" t="inlineStr">
        <is>
          <t>HPCL Super Saver ICICI Bank Credit Card</t>
        </is>
      </c>
      <c r="D34" s="4" t="inlineStr"/>
      <c r="E34" s="4" t="inlineStr">
        <is>
          <t>5% value proposition on selected categories; 20 RP/₹100 on eligible accelerated spends, with published category caps.</t>
        </is>
      </c>
      <c r="F34" s="4" t="inlineStr"/>
      <c r="G34" s="4" t="inlineStr">
        <is>
          <t>Accelerated reward value capped at ₹100/month for specified categories; HPCL cashback component capped at ₹200/month under current programme.</t>
        </is>
      </c>
      <c r="H34" s="4" t="inlineStr"/>
      <c r="I34" s="4" t="inlineStr"/>
      <c r="J34" s="4" t="inlineStr"/>
      <c r="K34" s="4" t="inlineStr">
        <is>
          <t>₹500 + GST</t>
        </is>
      </c>
      <c r="L34" s="4" t="inlineStr">
        <is>
          <t>₹500 + GST</t>
        </is>
      </c>
      <c r="M34" s="4" t="inlineStr"/>
      <c r="N34" s="4" t="inlineStr"/>
      <c r="O34" s="4" t="inlineStr"/>
      <c r="P34" s="4" t="inlineStr"/>
      <c r="Q34" s="4" t="inlineStr">
        <is>
          <t>Up to 5% fuel savings proposition: 4% cashback component (cap applies) plus 1% surcharge waiver; additional HP Pay benefits may apply.</t>
        </is>
      </c>
      <c r="R34" s="4" t="inlineStr"/>
      <c r="S34" s="5" t="inlineStr">
        <is>
          <t>https://www.icicibank.com/personal-banking/cards/credit-card</t>
        </is>
      </c>
      <c r="T34" s="2" t="inlineStr">
        <is>
          <t>Current official card page accessed 2026-09-09</t>
        </is>
      </c>
    </row>
    <row r="35" ht="34" customHeight="1">
      <c r="A35" s="2" t="inlineStr">
        <is>
          <t>ICICI Bank</t>
        </is>
      </c>
      <c r="B35" s="3" t="inlineStr">
        <is>
          <t>Selectable</t>
        </is>
      </c>
      <c r="C35" s="4" t="inlineStr">
        <is>
          <t>HPCL ICICI Bank Coral Credit Card</t>
        </is>
      </c>
      <c r="D35" s="4" t="inlineStr">
        <is>
          <t>2 Reward Points per ₹100 on eligible retail spends; 1 per ₹100 on utilities/insurance.</t>
        </is>
      </c>
      <c r="E35" s="4" t="inlineStr">
        <is>
          <t>2.5% cashback/value back on eligible HPCL fuel spends, subject to monthly cap and conditions.</t>
        </is>
      </c>
      <c r="F35" s="4" t="inlineStr"/>
      <c r="G35" s="4" t="inlineStr">
        <is>
          <t>HPCL fuel cashback/value-back cap commonly stated as ₹100/month on the issuer product proposition.</t>
        </is>
      </c>
      <c r="H35" s="4" t="inlineStr"/>
      <c r="I35" s="4" t="inlineStr"/>
      <c r="J35" s="4" t="inlineStr"/>
      <c r="K35" s="4" t="inlineStr">
        <is>
          <t>₹199 + GST</t>
        </is>
      </c>
      <c r="L35" s="4" t="inlineStr">
        <is>
          <t>₹199 + GST</t>
        </is>
      </c>
      <c r="M35" s="4" t="inlineStr"/>
      <c r="N35" s="4" t="inlineStr"/>
      <c r="O35" s="4" t="inlineStr"/>
      <c r="P35" s="4" t="inlineStr"/>
      <c r="Q35" s="4" t="inlineStr">
        <is>
          <t>HPCL value proposition includes 2.5% cashback (max ₹100/month) plus 1% fuel surcharge waiver on eligible ICICI POS transactions.</t>
        </is>
      </c>
      <c r="R35" s="4" t="inlineStr">
        <is>
          <t>BookMyShow discount published for this card, subject to monthly/transaction limits.</t>
        </is>
      </c>
      <c r="S35" s="5" t="inlineStr">
        <is>
          <t>https://www.icicibank.com/personal-banking/cards/credit-card</t>
        </is>
      </c>
      <c r="T35" s="2" t="inlineStr">
        <is>
          <t>Current official card page accessed 2026-09-09</t>
        </is>
      </c>
      <c r="U35" s="5" t="inlineStr">
        <is>
          <t>https://www.icici.bank.in/personal-banking/cards/credit-card/hpcl-coral-credit-card</t>
        </is>
      </c>
      <c r="V35" s="2" t="inlineStr">
        <is>
          <t>Official issuer</t>
        </is>
      </c>
      <c r="W35" s="2" t="inlineStr">
        <is>
          <t>2026-09-09</t>
        </is>
      </c>
      <c r="X35" s="2" t="inlineStr">
        <is>
          <t>Second-pass reward/cashback research; populated only from located source material.</t>
        </is>
      </c>
    </row>
    <row r="36" ht="22" customHeight="1">
      <c r="A36" s="2" t="inlineStr">
        <is>
          <t>ICICI Bank</t>
        </is>
      </c>
      <c r="B36" s="3" t="inlineStr">
        <is>
          <t>Selectable</t>
        </is>
      </c>
      <c r="C36" s="4" t="inlineStr">
        <is>
          <t>ICICI Bank Expressions Credit Card</t>
        </is>
      </c>
      <c r="D36" s="4" t="inlineStr">
        <is>
          <t>3 Reward Points per ₹100 on eligible general retail spends; 1 per ₹100 on utilities/insurance.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5" t="inlineStr">
        <is>
          <t>https://www.icicibank.com/personal-banking/cards/credit-card</t>
        </is>
      </c>
      <c r="T36" s="2" t="inlineStr">
        <is>
          <t>Current official catalogue accessed 2026-09-09</t>
        </is>
      </c>
      <c r="U36" s="5" t="inlineStr">
        <is>
          <t>https://www.icici.bank.in/personal-banking/cards/credit-card/expressions-card</t>
        </is>
      </c>
      <c r="V36" s="2" t="inlineStr">
        <is>
          <t>Official issuer</t>
        </is>
      </c>
      <c r="W36" s="2" t="inlineStr">
        <is>
          <t>2026-09-09</t>
        </is>
      </c>
      <c r="X36" s="2" t="inlineStr">
        <is>
          <t>Second-pass reward/cashback research; populated only from located source material.</t>
        </is>
      </c>
    </row>
    <row r="37" ht="34" customHeight="1">
      <c r="A37" s="2" t="inlineStr">
        <is>
          <t>ICICI Bank</t>
        </is>
      </c>
      <c r="B37" s="3" t="inlineStr">
        <is>
          <t>Selectable</t>
        </is>
      </c>
      <c r="C37" s="4" t="inlineStr">
        <is>
          <t>ICICI Bank Emeralde Private Metal Credit Card</t>
        </is>
      </c>
      <c r="D37" s="4" t="inlineStr">
        <is>
          <t>6 Reward Points per ₹200 on eligible retail spends.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>
        <is>
          <t>₹12,499 + GST</t>
        </is>
      </c>
      <c r="L37" s="4" t="inlineStr">
        <is>
          <t>₹12,499 + GST</t>
        </is>
      </c>
      <c r="M37" s="4" t="inlineStr"/>
      <c r="N37" s="4" t="inlineStr"/>
      <c r="O37" s="4" t="inlineStr">
        <is>
          <t>Unlimited domestic and international lounge access under current programme terms.</t>
        </is>
      </c>
      <c r="P37" s="4" t="inlineStr"/>
      <c r="Q37" s="4" t="inlineStr">
        <is>
          <t>1% fuel surcharge waiver on eligible fuel transactions up to ₹4,000.</t>
        </is>
      </c>
      <c r="R37" s="4" t="inlineStr">
        <is>
          <t>Premium Taj/EazyDiner/golf benefits under current card programme.</t>
        </is>
      </c>
      <c r="S37" s="5" t="inlineStr">
        <is>
          <t>https://www.icicibank.com/personal-banking/cards/credit-card</t>
        </is>
      </c>
      <c r="T37" s="2" t="inlineStr">
        <is>
          <t>Current official product page accessed 2026-09-09</t>
        </is>
      </c>
      <c r="U37" s="5" t="inlineStr">
        <is>
          <t>https://www.icici.bank.in/personal-banking/cards/credit-card/emeralde-private-metal-credit-card</t>
        </is>
      </c>
      <c r="V37" s="2" t="inlineStr">
        <is>
          <t>Official issuer</t>
        </is>
      </c>
      <c r="W37" s="2" t="inlineStr">
        <is>
          <t>2026-09-09</t>
        </is>
      </c>
      <c r="X37" s="2" t="inlineStr">
        <is>
          <t>Second-pass reward/cashback research; populated only from located source material.</t>
        </is>
      </c>
    </row>
    <row r="38" ht="22" customHeight="1">
      <c r="A38" s="2" t="inlineStr">
        <is>
          <t>ICICI Bank</t>
        </is>
      </c>
      <c r="B38" s="6" t="inlineStr">
        <is>
          <t>Discontinued</t>
        </is>
      </c>
      <c r="C38" s="4" t="inlineStr">
        <is>
          <t>Emirates Skywards ICICI Bank Rubyx Credit Card</t>
        </is>
      </c>
      <c r="D38" s="4" t="inlineStr">
        <is>
          <t>1 Emirates Skywards Mile per ₹100 on eligible spends under the legacy card proposition.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Published as non-waivable in legacy official material.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5" t="inlineStr">
        <is>
          <t>https://www.icicibank.com/personal-banking/cards/credit-card</t>
        </is>
      </c>
      <c r="T38" s="2" t="inlineStr">
        <is>
          <t>Legacy official product material; discontinued</t>
        </is>
      </c>
      <c r="U38" s="5" t="inlineStr">
        <is>
          <t>https://www.icici.bank.in/personal-banking/cards/credit-card</t>
        </is>
      </c>
      <c r="V38" s="2" t="inlineStr">
        <is>
          <t>Official issuer</t>
        </is>
      </c>
      <c r="W38" s="2" t="inlineStr">
        <is>
          <t>2026-09-09</t>
        </is>
      </c>
      <c r="X38" s="2" t="inlineStr">
        <is>
          <t>Discontinued card; earn rate recovered from issuer legacy/product material.</t>
        </is>
      </c>
    </row>
    <row r="39" ht="22" customHeight="1">
      <c r="A39" s="2" t="inlineStr">
        <is>
          <t>ICICI Bank</t>
        </is>
      </c>
      <c r="B39" s="6" t="inlineStr">
        <is>
          <t>Discontinued</t>
        </is>
      </c>
      <c r="C39" s="4" t="inlineStr">
        <is>
          <t>MakeMyTrip ICICI Bank Signature Credit Card</t>
        </is>
      </c>
      <c r="D39" s="4" t="inlineStr">
        <is>
          <t>1.25 MyCash per ₹200 on eligible domestic spends outside MakeMyTrip; 1.5 MyCash per ₹200 on eligible international spends.</t>
        </is>
      </c>
      <c r="E39" s="4" t="inlineStr">
        <is>
          <t>2 MyCash per ₹200 on eligible MakeMyTrip flight bookings and 4 MyCash per ₹200 on eligible MakeMyTrip hotel/holiday bookings.</t>
        </is>
      </c>
      <c r="F39" s="4" t="inlineStr">
        <is>
          <t>1 MyCash = ₹1 when redeemed under the MakeMyTrip programme, subject to programme rules.</t>
        </is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5" t="inlineStr">
        <is>
          <t>https://www.icicibank.com/personal-banking/cards/credit-card</t>
        </is>
      </c>
      <c r="T39" s="2" t="inlineStr">
        <is>
          <t>Legacy official product material; discontinued</t>
        </is>
      </c>
      <c r="U39" s="5" t="inlineStr">
        <is>
          <t>https://www.icici.bank.in/personal-banking/cards/credit-card</t>
        </is>
      </c>
      <c r="V39" s="2" t="inlineStr">
        <is>
          <t>Official issuer</t>
        </is>
      </c>
      <c r="W39" s="2" t="inlineStr">
        <is>
          <t>2026-09-09</t>
        </is>
      </c>
      <c r="X39" s="2" t="inlineStr">
        <is>
          <t>Discontinued legacy MakeMyTrip variant; rates recovered from issuer legacy terms.</t>
        </is>
      </c>
    </row>
    <row r="40" ht="22" customHeight="1">
      <c r="A40" s="2" t="inlineStr">
        <is>
          <t>ICICI Bank</t>
        </is>
      </c>
      <c r="B40" s="6" t="inlineStr">
        <is>
          <t>Discontinued</t>
        </is>
      </c>
      <c r="C40" s="4" t="inlineStr">
        <is>
          <t>MakeMyTrip ICICI Bank Platinum Credit Card</t>
        </is>
      </c>
      <c r="D40" s="4" t="inlineStr">
        <is>
          <t>1 MyCash per ₹200 on eligible domestic spends outside MakeMyTrip; 1.25 MyCash per ₹200 on eligible international spends.</t>
        </is>
      </c>
      <c r="E40" s="4" t="inlineStr">
        <is>
          <t>2 MyCash per ₹200 on eligible MakeMyTrip flight bookings and 3 MyCash per ₹200 on eligible MakeMyTrip hotel/holiday bookings.</t>
        </is>
      </c>
      <c r="F40" s="4" t="inlineStr">
        <is>
          <t>1 MyCash = ₹1 under the MakeMyTrip programme, subject to programme rules.</t>
        </is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5" t="inlineStr">
        <is>
          <t>https://www.icicibank.com/personal-banking/cards/credit-card</t>
        </is>
      </c>
      <c r="T40" s="2" t="inlineStr">
        <is>
          <t>Legacy official product material; discontinued</t>
        </is>
      </c>
      <c r="U40" s="5" t="inlineStr">
        <is>
          <t>https://www.icici.bank.in/personal-banking/cards/credit-card/makemytrip/platinum-credit-card/tnc-for-governing-mmt-platinum-credit-card</t>
        </is>
      </c>
      <c r="V40" s="2" t="inlineStr">
        <is>
          <t>Official issuer</t>
        </is>
      </c>
      <c r="W40" s="2" t="inlineStr">
        <is>
          <t>2026-09-09</t>
        </is>
      </c>
      <c r="X40" s="2" t="inlineStr">
        <is>
          <t>Second-pass reward/cashback research; populated only from located source material.</t>
        </is>
      </c>
    </row>
    <row r="41" ht="34" customHeight="1">
      <c r="A41" s="2" t="inlineStr">
        <is>
          <t>ICICI Bank</t>
        </is>
      </c>
      <c r="B41" s="6" t="inlineStr">
        <is>
          <t>Discontinued</t>
        </is>
      </c>
      <c r="C41" s="4" t="inlineStr">
        <is>
          <t>Chennai Super Kings ICICI Bank Credit Card</t>
        </is>
      </c>
      <c r="D41" s="4" t="inlineStr"/>
      <c r="E41" s="4" t="inlineStr">
        <is>
          <t>Legacy programme: 10 RP/₹100 on eligible CSK match-day spends; fuel excluded.</t>
        </is>
      </c>
      <c r="F41" s="4" t="inlineStr"/>
      <c r="G41" s="4" t="inlineStr"/>
      <c r="H41" s="4" t="inlineStr"/>
      <c r="I41" s="4" t="inlineStr"/>
      <c r="J41" s="4" t="inlineStr"/>
      <c r="K41" s="4" t="inlineStr">
        <is>
          <t>₹500 + GST (legacy official terms).</t>
        </is>
      </c>
      <c r="L41" s="4" t="inlineStr"/>
      <c r="M41" s="4" t="inlineStr">
        <is>
          <t>Legacy annual fee waiver above ₹1.5 lakh eligible spend in previous year.</t>
        </is>
      </c>
      <c r="N41" s="4" t="inlineStr"/>
      <c r="O41" s="4" t="inlineStr"/>
      <c r="P41" s="4" t="inlineStr">
        <is>
          <t>Legacy joining/renewal benefit of 2,000 reward points where fee conditions were met.</t>
        </is>
      </c>
      <c r="Q41" s="4" t="inlineStr"/>
      <c r="R41" s="4" t="inlineStr"/>
      <c r="S41" s="5" t="inlineStr">
        <is>
          <t>https://www.icicibank.com/personal-banking/cards/credit-card</t>
        </is>
      </c>
      <c r="T41" s="2" t="inlineStr">
        <is>
          <t>Legacy official product material; discontinued</t>
        </is>
      </c>
    </row>
    <row r="42" ht="34" customHeight="1">
      <c r="A42" s="2" t="inlineStr">
        <is>
          <t>ICICI Bank</t>
        </is>
      </c>
      <c r="B42" s="6" t="inlineStr">
        <is>
          <t>Discontinued</t>
        </is>
      </c>
      <c r="C42" s="4" t="inlineStr">
        <is>
          <t>ICICI Bank Parakram Select Credit Card</t>
        </is>
      </c>
      <c r="D42" s="4" t="inlineStr">
        <is>
          <t>Legacy programme included 2 RP/₹100 on specified eligible spends.</t>
        </is>
      </c>
      <c r="E42" s="4" t="inlineStr">
        <is>
          <t>Legacy programme included 10 RP/₹100 on grocery/departmental/CSD categories.</t>
        </is>
      </c>
      <c r="F42" s="4" t="inlineStr"/>
      <c r="G42" s="4" t="inlineStr">
        <is>
          <t>Legacy accelerated category cap: 1,000 RP/month.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>
        <is>
          <t>Legacy 1% fuel surcharge waiver on eligible fuel transactions up to ₹4,000.</t>
        </is>
      </c>
      <c r="R42" s="4" t="inlineStr"/>
      <c r="S42" s="5" t="inlineStr">
        <is>
          <t>https://www.icicibank.com/personal-banking/cards/credit-card</t>
        </is>
      </c>
      <c r="T42" s="2" t="inlineStr">
        <is>
          <t>Legacy official product material; discontinued</t>
        </is>
      </c>
    </row>
    <row r="43" ht="22" customHeight="1">
      <c r="A43" s="2" t="inlineStr">
        <is>
          <t>ICICI Bank</t>
        </is>
      </c>
      <c r="B43" s="6" t="inlineStr">
        <is>
          <t>Discontinued</t>
        </is>
      </c>
      <c r="C43" s="4" t="inlineStr">
        <is>
          <t>ICICI Bank Parakram Credit Card</t>
        </is>
      </c>
      <c r="D43" s="4" t="inlineStr">
        <is>
          <t>1 Reward Point per ₹100 on eligible spends.</t>
        </is>
      </c>
      <c r="E43" s="4" t="inlineStr">
        <is>
          <t>5 Reward Points per ₹100 on eligible grocery, departmental-store and CSD spends.</t>
        </is>
      </c>
      <c r="F43" s="4" t="inlineStr"/>
      <c r="G43" s="4" t="inlineStr">
        <is>
          <t>Accelerated category rewards capped at 1,000 Reward Points/month under legacy issuer terms.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5" t="inlineStr"/>
      <c r="T43" s="2" t="inlineStr"/>
      <c r="U43" s="5" t="inlineStr">
        <is>
          <t>https://www.icici.bank.in/personal-banking/cards/credit-card/parakram-cards/parakram</t>
        </is>
      </c>
      <c r="V43" s="2" t="inlineStr">
        <is>
          <t>Official issuer</t>
        </is>
      </c>
      <c r="W43" s="2" t="inlineStr">
        <is>
          <t>2026-09-09</t>
        </is>
      </c>
      <c r="X43" s="2" t="inlineStr">
        <is>
          <t>Discontinued; issuer legacy page retained.</t>
        </is>
      </c>
    </row>
    <row r="44" ht="34" customHeight="1">
      <c r="A44" s="2" t="inlineStr">
        <is>
          <t>Axis Bank</t>
        </is>
      </c>
      <c r="B44" s="3" t="inlineStr">
        <is>
          <t>Selectable</t>
        </is>
      </c>
      <c r="C44" s="4" t="inlineStr">
        <is>
          <t>Axis Bank SELECT Credit Card</t>
        </is>
      </c>
      <c r="D44" s="4" t="inlineStr">
        <is>
          <t>10 EDGE REWARD Points per ₹200 on eligible spends.</t>
        </is>
      </c>
      <c r="E44" s="4" t="inlineStr">
        <is>
          <t>2X points on eligible retail-shopping categories, subject to programme caps.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>
        <is>
          <t>1% fuel surcharge waiver subject to card-specific eligible transaction range/cap in current Axis KFS.</t>
        </is>
      </c>
      <c r="R44" s="4" t="inlineStr"/>
      <c r="S44" s="5" t="inlineStr">
        <is>
          <t>https://www.axisbank.com/docs/default-source/default-document-library/sosc-credit-cards.pdf</t>
        </is>
      </c>
      <c r="T44" s="2" t="inlineStr">
        <is>
          <t>Current Axis KFS accessed 2026-09-09</t>
        </is>
      </c>
      <c r="U44" s="5" t="inlineStr">
        <is>
          <t>https://www.axis.bank.in/cards/credit-card/axis-bank-select-credit-card</t>
        </is>
      </c>
      <c r="V44" s="2" t="inlineStr">
        <is>
          <t>Official issuer</t>
        </is>
      </c>
      <c r="W44" s="2" t="inlineStr">
        <is>
          <t>2026-09-09</t>
        </is>
      </c>
      <c r="X44" s="2" t="inlineStr">
        <is>
          <t>Second-pass reward/cashback research; populated only from located source material.</t>
        </is>
      </c>
    </row>
    <row r="45" ht="34" customHeight="1">
      <c r="A45" s="2" t="inlineStr">
        <is>
          <t>Axis Bank</t>
        </is>
      </c>
      <c r="B45" s="3" t="inlineStr">
        <is>
          <t>Selectable</t>
        </is>
      </c>
      <c r="C45" s="4" t="inlineStr">
        <is>
          <t>IndianOil Axis Bank Credit Card</t>
        </is>
      </c>
      <c r="D45" s="4" t="inlineStr">
        <is>
          <t>1 EDGE REWARD Point per ₹100 on eligible spends.</t>
        </is>
      </c>
      <c r="E45" s="4" t="inlineStr">
        <is>
          <t>20 EDGE REWARD Points per ₹100 on eligible IndianOil fuel spends (4% value back) and 5 points per ₹100 on eligible online spends.</t>
        </is>
      </c>
      <c r="F45" s="4" t="inlineStr"/>
      <c r="G45" s="4" t="inlineStr">
        <is>
          <t>Accelerated earning applies up to the issuer-defined monthly eligible-spend thresholds (including ₹5,000/month for key accelerated buckets).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>
        <is>
          <t>1% fuel surcharge waiver subject to card-specific eligible transaction range/cap in current Axis KFS.</t>
        </is>
      </c>
      <c r="R45" s="4" t="inlineStr"/>
      <c r="S45" s="5" t="inlineStr">
        <is>
          <t>https://www.axisbank.com/docs/default-source/default-document-library/sosc-credit-cards.pdf</t>
        </is>
      </c>
      <c r="T45" s="2" t="inlineStr">
        <is>
          <t>Current Axis KFS accessed 2026-09-09</t>
        </is>
      </c>
      <c r="U45" s="5" t="inlineStr">
        <is>
          <t>https://www.axis.bank.in/cards/credit-card/indianoil-axis-bank-credit-card</t>
        </is>
      </c>
      <c r="V45" s="2" t="inlineStr">
        <is>
          <t>Official issuer</t>
        </is>
      </c>
      <c r="W45" s="2" t="inlineStr">
        <is>
          <t>2026-09-09</t>
        </is>
      </c>
      <c r="X45" s="2" t="inlineStr">
        <is>
          <t>Second-pass reward/cashback research; populated only from located source material.</t>
        </is>
      </c>
    </row>
    <row r="46" ht="34" customHeight="1">
      <c r="A46" s="2" t="inlineStr">
        <is>
          <t>Axis Bank</t>
        </is>
      </c>
      <c r="B46" s="3" t="inlineStr">
        <is>
          <t>Selectable</t>
        </is>
      </c>
      <c r="C46" s="4" t="inlineStr">
        <is>
          <t>Airtel Axis Bank Credit Card</t>
        </is>
      </c>
      <c r="D46" s="4" t="inlineStr">
        <is>
          <t>1% cashback on other eligible spends.</t>
        </is>
      </c>
      <c r="E46" s="4" t="inlineStr">
        <is>
          <t>25% cashback on eligible Airtel mobile/broadband/Wi-Fi/DTH payments via Airtel Thanks; 10% on eligible utilities through Airtel Thanks; 10% on specified partner merchants including Zomato/Blinkit/District Movies.</t>
        </is>
      </c>
      <c r="F46" s="4" t="inlineStr"/>
      <c r="G46" s="4" t="inlineStr">
        <is>
          <t>Current 2026 terms use dynamic caps linked to base cashback earned in the statement for Airtel and utilities; partner-category caps also apply.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>
        <is>
          <t>1% fuel surcharge waiver subject to card-specific eligible transaction range/cap in current Axis KFS.</t>
        </is>
      </c>
      <c r="R46" s="4" t="inlineStr"/>
      <c r="S46" s="5" t="inlineStr">
        <is>
          <t>https://www.axisbank.com/docs/default-source/default-document-library/sosc-credit-cards.pdf</t>
        </is>
      </c>
      <c r="T46" s="2" t="inlineStr">
        <is>
          <t>Current Axis KFS accessed 2026-09-09</t>
        </is>
      </c>
      <c r="U46" s="5" t="inlineStr">
        <is>
          <t>https://www.axis.bank.in/cards/credit-card/airtel-axis-bank-credit-card</t>
        </is>
      </c>
      <c r="V46" s="2" t="inlineStr">
        <is>
          <t>Official issuer</t>
        </is>
      </c>
      <c r="W46" s="2" t="inlineStr">
        <is>
          <t>2026-09-09</t>
        </is>
      </c>
      <c r="X46" s="2" t="inlineStr">
        <is>
          <t>Current proposition checked against 2026 issuer terms; avoid older fixed-cap summaries.</t>
        </is>
      </c>
    </row>
    <row r="47" ht="34" customHeight="1">
      <c r="A47" s="2" t="inlineStr">
        <is>
          <t>Axis Bank</t>
        </is>
      </c>
      <c r="B47" s="3" t="inlineStr">
        <is>
          <t>Selectable</t>
        </is>
      </c>
      <c r="C47" s="4" t="inlineStr">
        <is>
          <t>Flipkart Axis Bank Credit Card</t>
        </is>
      </c>
      <c r="D47" s="4" t="inlineStr">
        <is>
          <t>1% cashback on eligible other spends.</t>
        </is>
      </c>
      <c r="E47" s="4" t="inlineStr">
        <is>
          <t>5% cashback on eligible Flipkart and Cleartrip spends; 7.5% on eligible Myntra spends and 4% at selected preferred merchants under the current proposition, subject to caps.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>
        <is>
          <t>1% fuel surcharge waiver subject to card-specific eligible transaction range/cap in current Axis KFS.</t>
        </is>
      </c>
      <c r="R47" s="4" t="inlineStr"/>
      <c r="S47" s="5" t="inlineStr">
        <is>
          <t>https://www.axisbank.com/docs/default-source/default-document-library/sosc-credit-cards.pdf</t>
        </is>
      </c>
      <c r="T47" s="2" t="inlineStr">
        <is>
          <t>Current Axis KFS accessed 2026-09-09</t>
        </is>
      </c>
      <c r="U47" s="5" t="inlineStr">
        <is>
          <t>https://www.axis.bank.in/cards/credit-card</t>
        </is>
      </c>
      <c r="V47" s="2" t="inlineStr">
        <is>
          <t>Official issuer</t>
        </is>
      </c>
      <c r="W47" s="2" t="inlineStr">
        <is>
          <t>2026-09-09</t>
        </is>
      </c>
      <c r="X47" s="2" t="inlineStr">
        <is>
          <t>Second-pass reward/cashback research; populated only from located source material.</t>
        </is>
      </c>
    </row>
    <row r="48" ht="34" customHeight="1">
      <c r="A48" s="2" t="inlineStr">
        <is>
          <t>Axis Bank</t>
        </is>
      </c>
      <c r="B48" s="3" t="inlineStr">
        <is>
          <t>Selectable</t>
        </is>
      </c>
      <c r="C48" s="4" t="inlineStr">
        <is>
          <t>Axis Bank Privilege Credit Card</t>
        </is>
      </c>
      <c r="D48" s="4" t="inlineStr">
        <is>
          <t>10 EDGE REWARD Points per ₹200 on eligible spends.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>
        <is>
          <t>1% fuel surcharge waiver subject to card-specific eligible transaction range/cap in current Axis KFS.</t>
        </is>
      </c>
      <c r="R48" s="4" t="inlineStr"/>
      <c r="S48" s="5" t="inlineStr">
        <is>
          <t>https://www.axisbank.com/docs/default-source/default-document-library/sosc-credit-cards.pdf</t>
        </is>
      </c>
      <c r="T48" s="2" t="inlineStr">
        <is>
          <t>Current Axis KFS accessed 2026-09-09</t>
        </is>
      </c>
      <c r="U48" s="5" t="inlineStr">
        <is>
          <t>https://www.axis.bank.in/cards/credit-card</t>
        </is>
      </c>
      <c r="V48" s="2" t="inlineStr">
        <is>
          <t>Official issuer</t>
        </is>
      </c>
      <c r="W48" s="2" t="inlineStr">
        <is>
          <t>2026-09-09</t>
        </is>
      </c>
      <c r="X48" s="2" t="inlineStr">
        <is>
          <t>Second-pass reward/cashback research; populated only from located source material.</t>
        </is>
      </c>
    </row>
    <row r="49" ht="34" customHeight="1">
      <c r="A49" s="2" t="inlineStr">
        <is>
          <t>Axis Bank</t>
        </is>
      </c>
      <c r="B49" s="3" t="inlineStr">
        <is>
          <t>Selectable</t>
        </is>
      </c>
      <c r="C49" s="4" t="inlineStr">
        <is>
          <t>Axis Bank Neo Credit Card</t>
        </is>
      </c>
      <c r="D49" s="4" t="inlineStr">
        <is>
          <t>1 EDGE REWARD Point per ₹200 on eligible spends.</t>
        </is>
      </c>
      <c r="E49" s="4" t="inlineStr">
        <is>
          <t>Card value is primarily delivered through recurring merchant discounts/offers rather than a high accelerated base earn.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5" t="inlineStr">
        <is>
          <t>https://www.axisbank.com/docs/default-source/default-document-library/sosc-credit-cards.pdf</t>
        </is>
      </c>
      <c r="T49" s="2" t="inlineStr">
        <is>
          <t>Current official schedule/KFS accessed 2026-09-09</t>
        </is>
      </c>
      <c r="U49" s="5" t="inlineStr">
        <is>
          <t>https://www.axis.bank.in/cards/credit-card</t>
        </is>
      </c>
      <c r="V49" s="2" t="inlineStr">
        <is>
          <t>Official issuer</t>
        </is>
      </c>
      <c r="W49" s="2" t="inlineStr">
        <is>
          <t>2026-09-09</t>
        </is>
      </c>
      <c r="X49" s="2" t="inlineStr">
        <is>
          <t>Second-pass reward/cashback research; populated only from located source material.</t>
        </is>
      </c>
    </row>
    <row r="50" ht="34" customHeight="1">
      <c r="A50" s="2" t="inlineStr">
        <is>
          <t>Axis Bank</t>
        </is>
      </c>
      <c r="B50" s="3" t="inlineStr">
        <is>
          <t>Selectable</t>
        </is>
      </c>
      <c r="C50" s="4" t="inlineStr">
        <is>
          <t>IndiGo Axis Bank Premium Credit Card</t>
        </is>
      </c>
      <c r="D50" s="4" t="inlineStr">
        <is>
          <t>2 IndiGo BluChips per ₹100 on eligible spends.</t>
        </is>
      </c>
      <c r="E50" s="4" t="inlineStr">
        <is>
          <t>7 BluChips per ₹100 on eligible IndiGo spends.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5" t="inlineStr">
        <is>
          <t>https://www.axisbank.com/docs/default-source/default-document-library/sosc-credit-cards.pdf</t>
        </is>
      </c>
      <c r="T50" s="2" t="inlineStr">
        <is>
          <t>Current official schedule/KFS accessed 2026-09-09</t>
        </is>
      </c>
      <c r="U50" s="5" t="inlineStr">
        <is>
          <t>https://www.axis.bank.in/cards/credit-card</t>
        </is>
      </c>
      <c r="V50" s="2" t="inlineStr">
        <is>
          <t>Official issuer</t>
        </is>
      </c>
      <c r="W50" s="2" t="inlineStr">
        <is>
          <t>2026-09-09</t>
        </is>
      </c>
      <c r="X50" s="2" t="inlineStr">
        <is>
          <t>Second-pass reward/cashback research; populated only from located source material.</t>
        </is>
      </c>
    </row>
    <row r="51" ht="34" customHeight="1">
      <c r="A51" s="2" t="inlineStr">
        <is>
          <t>Axis Bank</t>
        </is>
      </c>
      <c r="B51" s="3" t="inlineStr">
        <is>
          <t>Selectable</t>
        </is>
      </c>
      <c r="C51" s="4" t="inlineStr">
        <is>
          <t>Axis Bank MY ZONE Credit Card</t>
        </is>
      </c>
      <c r="D51" s="4" t="inlineStr">
        <is>
          <t>4 EDGE REWARD Points per ₹200 on eligible spends.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>
        <is>
          <t>1% fuel surcharge waiver subject to card-specific eligible transaction range/cap in current Axis KFS.</t>
        </is>
      </c>
      <c r="R51" s="4" t="inlineStr"/>
      <c r="S51" s="5" t="inlineStr">
        <is>
          <t>https://www.axisbank.com/docs/default-source/default-document-library/sosc-credit-cards.pdf</t>
        </is>
      </c>
      <c r="T51" s="2" t="inlineStr">
        <is>
          <t>Current Axis KFS accessed 2026-09-09</t>
        </is>
      </c>
      <c r="U51" s="5" t="inlineStr">
        <is>
          <t>https://www.axis.bank.in/cards/credit-card</t>
        </is>
      </c>
      <c r="V51" s="2" t="inlineStr">
        <is>
          <t>Official issuer</t>
        </is>
      </c>
      <c r="W51" s="2" t="inlineStr">
        <is>
          <t>2026-09-09</t>
        </is>
      </c>
      <c r="X51" s="2" t="inlineStr">
        <is>
          <t>Second-pass reward/cashback research; populated only from located source material.</t>
        </is>
      </c>
    </row>
    <row r="52" ht="34" customHeight="1">
      <c r="A52" s="2" t="inlineStr">
        <is>
          <t>Axis Bank</t>
        </is>
      </c>
      <c r="B52" s="3" t="inlineStr">
        <is>
          <t>Selectable</t>
        </is>
      </c>
      <c r="C52" s="4" t="inlineStr">
        <is>
          <t>Axis Bank ACE Credit Card</t>
        </is>
      </c>
      <c r="D52" s="4" t="inlineStr">
        <is>
          <t>1.5% cashback on eligible other spends.</t>
        </is>
      </c>
      <c r="E52" s="4" t="inlineStr">
        <is>
          <t>5% cashback on eligible utility bill payments/DTH/mobile recharges through Google Pay; 4% on eligible Swiggy, Zomato and Ola spends.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>
        <is>
          <t>1% fuel surcharge waiver subject to card-specific eligible transaction range/cap in current Axis KFS.</t>
        </is>
      </c>
      <c r="R52" s="4" t="inlineStr"/>
      <c r="S52" s="5" t="inlineStr">
        <is>
          <t>https://www.axisbank.com/docs/default-source/default-document-library/sosc-credit-cards.pdf</t>
        </is>
      </c>
      <c r="T52" s="2" t="inlineStr">
        <is>
          <t>Current Axis KFS accessed 2026-09-09</t>
        </is>
      </c>
      <c r="U52" s="5" t="inlineStr">
        <is>
          <t>https://www.axis.bank.in/cards/credit-card/axis-bank-ace-credit-card</t>
        </is>
      </c>
      <c r="V52" s="2" t="inlineStr">
        <is>
          <t>Official issuer</t>
        </is>
      </c>
      <c r="W52" s="2" t="inlineStr">
        <is>
          <t>2026-09-09</t>
        </is>
      </c>
      <c r="X52" s="2" t="inlineStr">
        <is>
          <t>Second-pass reward/cashback research; populated only from located source material.</t>
        </is>
      </c>
    </row>
    <row r="53" ht="34" customHeight="1">
      <c r="A53" s="2" t="inlineStr">
        <is>
          <t>Axis Bank</t>
        </is>
      </c>
      <c r="B53" s="3" t="inlineStr">
        <is>
          <t>Selectable</t>
        </is>
      </c>
      <c r="C53" s="4" t="inlineStr">
        <is>
          <t>Axis Bank Rewards Credit Card</t>
        </is>
      </c>
      <c r="D53" s="4" t="inlineStr">
        <is>
          <t>2 EDGE REWARD Points per ₹125 on eligible spends.</t>
        </is>
      </c>
      <c r="E53" s="4" t="inlineStr">
        <is>
          <t>10X total earn (20 EDGE REWARD Points per ₹125) on eligible apparel and departmental-store spends.</t>
        </is>
      </c>
      <c r="F53" s="4" t="inlineStr">
        <is>
          <t>1 EDGE REWARD Point = ₹0.20 on the issuer value chart.</t>
        </is>
      </c>
      <c r="G53" s="4" t="inlineStr">
        <is>
          <t>Incremental 9X component capped at 1,008 points per statement month, corresponding to ₹7,000 accelerated-category spend.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>
        <is>
          <t>1% waiver on eligible fuel transactions ₹400–₹5,000; current KFS cap applies.</t>
        </is>
      </c>
      <c r="R53" s="4" t="inlineStr"/>
      <c r="S53" s="5" t="inlineStr">
        <is>
          <t>https://www.axisbank.com/docs/default-source/default-document-library/sosc-credit-cards.pdf</t>
        </is>
      </c>
      <c r="T53" s="2" t="inlineStr">
        <is>
          <t>Current Axis KFS accessed 2026-09-09</t>
        </is>
      </c>
      <c r="U53" s="5" t="inlineStr">
        <is>
          <t>https://www.axis.bank.in/cards/credit-card/rewards-credit-card</t>
        </is>
      </c>
      <c r="V53" s="2" t="inlineStr">
        <is>
          <t>Official issuer</t>
        </is>
      </c>
      <c r="W53" s="2" t="inlineStr">
        <is>
          <t>2026-09-09</t>
        </is>
      </c>
      <c r="X53" s="2" t="inlineStr">
        <is>
          <t>Second-pass reward/cashback research; populated only from located source material.</t>
        </is>
      </c>
    </row>
    <row r="54" ht="34" customHeight="1">
      <c r="A54" s="2" t="inlineStr">
        <is>
          <t>Axis Bank</t>
        </is>
      </c>
      <c r="B54" s="3" t="inlineStr">
        <is>
          <t>Selectable</t>
        </is>
      </c>
      <c r="C54" s="4" t="inlineStr">
        <is>
          <t>Google Pay Flex Axis Bank Credit Card</t>
        </is>
      </c>
      <c r="D54" s="4" t="inlineStr">
        <is>
          <t>Earn Stars on eligible cumulative spend; current structure awards Stars against spend milestones rather than a simple fixed cashback rate.</t>
        </is>
      </c>
      <c r="E54" s="4" t="inlineStr">
        <is>
          <t>Category/merchant multipliers apply in Google Pay/Flex campaigns.</t>
        </is>
      </c>
      <c r="F54" s="4" t="inlineStr">
        <is>
          <t>1 Star is represented as ₹1 of eligible reward value in the programme.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5" t="inlineStr">
        <is>
          <t>https://www.axisbank.com/docs/default-source/default-document-library/sosc-credit-cards.pdf</t>
        </is>
      </c>
      <c r="T54" s="2" t="inlineStr">
        <is>
          <t>Current official schedule/KFS accessed 2026-09-09</t>
        </is>
      </c>
      <c r="U54" s="5" t="inlineStr">
        <is>
          <t>https://www.axis.bank.in/cards/credit-card</t>
        </is>
      </c>
      <c r="V54" s="2" t="inlineStr">
        <is>
          <t>Official issuer</t>
        </is>
      </c>
      <c r="W54" s="2" t="inlineStr">
        <is>
          <t>2026-09-09</t>
        </is>
      </c>
      <c r="X54" s="2" t="inlineStr">
        <is>
          <t>Second-pass reward/cashback research; populated only from located source material.</t>
        </is>
      </c>
    </row>
    <row r="55" ht="34" customHeight="1">
      <c r="A55" s="2" t="inlineStr">
        <is>
          <t>Axis Bank</t>
        </is>
      </c>
      <c r="B55" s="3" t="inlineStr">
        <is>
          <t>Selectable</t>
        </is>
      </c>
      <c r="C55" s="4" t="inlineStr">
        <is>
          <t>Axis Bank HORIZON Credit Card</t>
        </is>
      </c>
      <c r="D55" s="4" t="inlineStr">
        <is>
          <t>2 EDGE Miles per ₹100 on eligible spends.</t>
        </is>
      </c>
      <c r="E55" s="4" t="inlineStr">
        <is>
          <t>5 EDGE Miles per ₹100 on eligible Travel EDGE/direct airline/hotel spends.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>
        <is>
          <t>1% waiver on eligible fuel transactions ₹400–₹5,000; current KFS cap applies.</t>
        </is>
      </c>
      <c r="R55" s="4" t="inlineStr"/>
      <c r="S55" s="5" t="inlineStr">
        <is>
          <t>https://www.axisbank.com/docs/default-source/default-document-library/sosc-credit-cards.pdf</t>
        </is>
      </c>
      <c r="T55" s="2" t="inlineStr">
        <is>
          <t>Current Axis KFS accessed 2026-09-09</t>
        </is>
      </c>
      <c r="U55" s="5" t="inlineStr">
        <is>
          <t>https://www.axis.bank.in/cards/credit-card</t>
        </is>
      </c>
      <c r="V55" s="2" t="inlineStr">
        <is>
          <t>Official issuer</t>
        </is>
      </c>
      <c r="W55" s="2" t="inlineStr">
        <is>
          <t>2026-09-09</t>
        </is>
      </c>
      <c r="X55" s="2" t="inlineStr">
        <is>
          <t>Second-pass reward/cashback research; populated only from located source material.</t>
        </is>
      </c>
    </row>
    <row r="56" ht="58" customHeight="1">
      <c r="A56" s="2" t="inlineStr">
        <is>
          <t>Axis Bank</t>
        </is>
      </c>
      <c r="B56" s="3" t="inlineStr">
        <is>
          <t>Selectable</t>
        </is>
      </c>
      <c r="C56" s="4" t="inlineStr">
        <is>
          <t>Axis Bank Cashback Credit Card</t>
        </is>
      </c>
      <c r="D56" s="4" t="inlineStr">
        <is>
          <t>0.75% cashback on eligible offline/POS and travel spends.</t>
        </is>
      </c>
      <c r="E56" s="4" t="inlineStr">
        <is>
          <t>Eligible online spend: 2% on first ₹5,000; 5% on ₹5,001–₹40,000; 7% thereafter, subject to current T&amp;C.</t>
        </is>
      </c>
      <c r="F56" s="4" t="inlineStr">
        <is>
          <t>N/A – statement cashback.</t>
        </is>
      </c>
      <c r="G56" s="4" t="inlineStr">
        <is>
          <t>Accelerated cashback capped at ₹4,000/statement cycle; utility cashback capped at ₹100/statement cycle.</t>
        </is>
      </c>
      <c r="H56" s="4" t="inlineStr"/>
      <c r="I56" s="4" t="inlineStr">
        <is>
          <t>Transportation/tolls 4111, 4121, 4131, 4784; insurance 6300, 6381, 5960, 6012, 6051; education 8211, 8241, 8244, 8249, 8299; jewellery/precious metals 5944, 5094; government 9211, 9222, 9311, 9399, 9402, 9405, 8220; wallet 6540; rent 6513; fuel 5541, 5542, 5983.</t>
        </is>
      </c>
      <c r="J56" s="4" t="inlineStr"/>
      <c r="K56" s="4" t="inlineStr">
        <is>
          <t>₹1,000 + GST</t>
        </is>
      </c>
      <c r="L56" s="4" t="inlineStr">
        <is>
          <t>₹1,000 + GST</t>
        </is>
      </c>
      <c r="M56" s="4" t="inlineStr">
        <is>
          <t>Waived at ₹4 lakh eligible annual retail spend; rent MCC 6513 and wallet MCC 6540 excluded from waiver spend.</t>
        </is>
      </c>
      <c r="N56" s="4" t="inlineStr"/>
      <c r="O56" s="4" t="inlineStr"/>
      <c r="P56" s="4" t="inlineStr">
        <is>
          <t>Welcome 5,000 EDGE Reward Points (stated value ₹1,000) after first spend within 30 days, subject to joining-fee conditions.</t>
        </is>
      </c>
      <c r="Q56" s="4" t="inlineStr"/>
      <c r="R56" s="4" t="inlineStr">
        <is>
          <t>0.5% utility cashback on MCC 4816/4899/4900, capped at ₹100/statement.</t>
        </is>
      </c>
      <c r="S56" s="5" t="inlineStr">
        <is>
          <t>https://www.axisbank.com/docs/default-source/ld/axis-bank-cashback-credit-card-tnc.pdf
https://www.axisbank.com/docs/default-source/default-document-library/sosc-credit-cards.pdf</t>
        </is>
      </c>
      <c r="T56" s="2" t="inlineStr">
        <is>
          <t>Current official T&amp;C/KFS accessed 2026-09-09</t>
        </is>
      </c>
    </row>
    <row r="57" ht="34" customHeight="1">
      <c r="A57" s="2" t="inlineStr">
        <is>
          <t>Axis Bank</t>
        </is>
      </c>
      <c r="B57" s="3" t="inlineStr">
        <is>
          <t>Selectable</t>
        </is>
      </c>
      <c r="C57" s="4" t="inlineStr">
        <is>
          <t>Axis Bank Magnus Credit Card</t>
        </is>
      </c>
      <c r="D57" s="4" t="inlineStr">
        <is>
          <t>12 EDGE REWARD Points per ₹200 on eligible monthly spends up to the current threshold; higher earn applies above the specified monthly spend threshold.</t>
        </is>
      </c>
      <c r="E57" s="4" t="inlineStr">
        <is>
          <t>Up to 5X on eligible Travel EDGE spends.</t>
        </is>
      </c>
      <c r="F57" s="4" t="inlineStr"/>
      <c r="G57" s="4" t="inlineStr"/>
      <c r="H57" s="4" t="inlineStr"/>
      <c r="I57" s="4" t="inlineStr"/>
      <c r="J57" s="4" t="inlineStr"/>
      <c r="K57" s="4" t="inlineStr">
        <is>
          <t>₹12,500 + GST</t>
        </is>
      </c>
      <c r="L57" s="4" t="inlineStr">
        <is>
          <t>₹12,500 + GST</t>
        </is>
      </c>
      <c r="M57" s="4" t="inlineStr"/>
      <c r="N57" s="4" t="inlineStr"/>
      <c r="O57" s="4" t="inlineStr"/>
      <c r="P57" s="4" t="inlineStr"/>
      <c r="Q57" s="4" t="inlineStr"/>
      <c r="R57" s="4" t="inlineStr"/>
      <c r="S57" s="5" t="inlineStr">
        <is>
          <t>https://www.axisbank.com/docs/default-source/default-document-library/sosc-credit-cards.pdf</t>
        </is>
      </c>
      <c r="T57" s="2" t="inlineStr">
        <is>
          <t>Current Axis MITC/KFS accessed 2026-09-09</t>
        </is>
      </c>
      <c r="U57" s="5" t="inlineStr">
        <is>
          <t>https://www.axis.bank.in/cards/credit-card</t>
        </is>
      </c>
      <c r="V57" s="2" t="inlineStr">
        <is>
          <t>Official issuer</t>
        </is>
      </c>
      <c r="W57" s="2" t="inlineStr">
        <is>
          <t>2026-09-09</t>
        </is>
      </c>
      <c r="X57" s="2" t="inlineStr">
        <is>
          <t>Second-pass reward/cashback research; populated only from located source material.</t>
        </is>
      </c>
    </row>
    <row r="58" ht="34" customHeight="1">
      <c r="A58" s="2" t="inlineStr">
        <is>
          <t>Axis Bank</t>
        </is>
      </c>
      <c r="B58" s="3" t="inlineStr">
        <is>
          <t>Selectable</t>
        </is>
      </c>
      <c r="C58" s="4" t="inlineStr">
        <is>
          <t>Axis Bank Reserve Credit Card</t>
        </is>
      </c>
      <c r="D58" s="4" t="inlineStr">
        <is>
          <t>15 EDGE REWARD Points per ₹200 on eligible spends.</t>
        </is>
      </c>
      <c r="E58" s="4" t="inlineStr">
        <is>
          <t>2X points on eligible international spends.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5" t="inlineStr">
        <is>
          <t>https://www.axisbank.com/docs/default-source/default-document-library/sosc-credit-cards.pdf</t>
        </is>
      </c>
      <c r="T58" s="2" t="inlineStr">
        <is>
          <t>Current official schedule/KFS accessed 2026-09-09</t>
        </is>
      </c>
      <c r="U58" s="5" t="inlineStr">
        <is>
          <t>https://www.axis.bank.in/cards/credit-card</t>
        </is>
      </c>
      <c r="V58" s="2" t="inlineStr">
        <is>
          <t>Official issuer</t>
        </is>
      </c>
      <c r="W58" s="2" t="inlineStr">
        <is>
          <t>2026-09-09</t>
        </is>
      </c>
      <c r="X58" s="2" t="inlineStr">
        <is>
          <t>Second-pass reward/cashback research; populated only from located source material.</t>
        </is>
      </c>
    </row>
    <row r="59" ht="34" customHeight="1">
      <c r="A59" s="2" t="inlineStr">
        <is>
          <t>Axis Bank</t>
        </is>
      </c>
      <c r="B59" s="3" t="inlineStr">
        <is>
          <t>Selectable</t>
        </is>
      </c>
      <c r="C59" s="4" t="inlineStr">
        <is>
          <t>Axis Bank MY ZONE Easy Credit Card</t>
        </is>
      </c>
      <c r="D59" s="4" t="inlineStr">
        <is>
          <t>4 EDGE REWARD Points per ₹200 on eligible spends.</t>
        </is>
      </c>
      <c r="E59" s="4" t="inlineStr">
        <is>
          <t>Additional value is largely merchant/movie-offer based.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5" t="inlineStr">
        <is>
          <t>https://www.axisbank.com/docs/default-source/default-document-library/sosc-credit-cards.pdf</t>
        </is>
      </c>
      <c r="T59" s="2" t="inlineStr">
        <is>
          <t>Current official schedule/KFS accessed 2026-09-09</t>
        </is>
      </c>
      <c r="U59" s="5" t="inlineStr">
        <is>
          <t>https://www.axis.bank.in/cards/credit-card</t>
        </is>
      </c>
      <c r="V59" s="2" t="inlineStr">
        <is>
          <t>Official issuer</t>
        </is>
      </c>
      <c r="W59" s="2" t="inlineStr">
        <is>
          <t>2026-09-09</t>
        </is>
      </c>
      <c r="X59" s="2" t="inlineStr">
        <is>
          <t>Second-pass reward/cashback research; populated only from located source material.</t>
        </is>
      </c>
    </row>
    <row r="60" ht="34" customHeight="1">
      <c r="A60" s="2" t="inlineStr">
        <is>
          <t>Axis Bank</t>
        </is>
      </c>
      <c r="B60" s="3" t="inlineStr">
        <is>
          <t>Selectable</t>
        </is>
      </c>
      <c r="C60" s="4" t="inlineStr">
        <is>
          <t>IndianOil Axis Bank Easy Credit Card</t>
        </is>
      </c>
      <c r="D60" s="4" t="inlineStr">
        <is>
          <t>1 EDGE REWARD Point per ₹100 on eligible spends.</t>
        </is>
      </c>
      <c r="E60" s="4" t="inlineStr">
        <is>
          <t>20 EDGE REWARD Points per ₹100 on eligible IndianOil fuel spends and 5 per ₹100 on eligible online spends under the legacy/easy proposition.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5" t="inlineStr">
        <is>
          <t>https://www.axisbank.com/docs/default-source/default-document-library/sosc-credit-cards.pdf</t>
        </is>
      </c>
      <c r="T60" s="2" t="inlineStr">
        <is>
          <t>Current official schedule/KFS accessed 2026-09-09</t>
        </is>
      </c>
      <c r="U60" s="5" t="inlineStr">
        <is>
          <t>https://coffer.gold/cards/indianoil-easy-axis-bank-credit-card</t>
        </is>
      </c>
      <c r="V60" s="2" t="inlineStr">
        <is>
          <t>Credible secondary</t>
        </is>
      </c>
      <c r="W60" s="2" t="inlineStr">
        <is>
          <t>2026-09-09</t>
        </is>
      </c>
      <c r="X60" s="2" t="inlineStr">
        <is>
          <t>Exact legacy Axis product page was not reliably surfaced; rate cross-checked against card databases and Axis programme references.</t>
        </is>
      </c>
    </row>
    <row r="61" ht="34" customHeight="1">
      <c r="A61" s="2" t="inlineStr">
        <is>
          <t>Axis Bank</t>
        </is>
      </c>
      <c r="B61" s="3" t="inlineStr">
        <is>
          <t>Selectable</t>
        </is>
      </c>
      <c r="C61" s="4" t="inlineStr">
        <is>
          <t>Axis Bank Privilege Easy Credit Card</t>
        </is>
      </c>
      <c r="D61" s="4" t="inlineStr">
        <is>
          <t>10 EDGE REWARD Points per ₹200 on eligible spends under the legacy/easy proposition.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5" t="inlineStr">
        <is>
          <t>https://www.axisbank.com/docs/default-source/default-document-library/sosc-credit-cards.pdf</t>
        </is>
      </c>
      <c r="T61" s="2" t="inlineStr">
        <is>
          <t>Current official schedule/KFS accessed 2026-09-09</t>
        </is>
      </c>
      <c r="U61" s="5" t="inlineStr">
        <is>
          <t>https://www.paisabazaar.com/axis-bank/privilege-easy-credit-card/</t>
        </is>
      </c>
      <c r="V61" s="2" t="inlineStr">
        <is>
          <t>Credible secondary</t>
        </is>
      </c>
      <c r="W61" s="2" t="inlineStr">
        <is>
          <t>2026-09-09</t>
        </is>
      </c>
      <c r="X61" s="2" t="inlineStr">
        <is>
          <t>Legacy product; issuer page was not readily accessible in current catalogue.</t>
        </is>
      </c>
    </row>
    <row r="62" ht="34" customHeight="1">
      <c r="A62" s="2" t="inlineStr">
        <is>
          <t>Axis Bank</t>
        </is>
      </c>
      <c r="B62" s="3" t="inlineStr">
        <is>
          <t>Selectable</t>
        </is>
      </c>
      <c r="C62" s="4" t="inlineStr">
        <is>
          <t>Axis Bank Atlas Credit Card</t>
        </is>
      </c>
      <c r="D62" s="4" t="inlineStr">
        <is>
          <t>2 EDGE Miles per ₹100 on eligible spends.</t>
        </is>
      </c>
      <c r="E62" s="4" t="inlineStr">
        <is>
          <t>5 EDGE Miles per ₹100 on eligible travel-category spends as defined by Axis.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5" t="inlineStr">
        <is>
          <t>https://www.axisbank.com/docs/default-source/default-document-library/sosc-credit-cards.pdf</t>
        </is>
      </c>
      <c r="T62" s="2" t="inlineStr">
        <is>
          <t>Current official schedule/KFS accessed 2026-09-09</t>
        </is>
      </c>
      <c r="U62" s="5" t="inlineStr">
        <is>
          <t>https://www.axis.bank.in/cards/credit-card</t>
        </is>
      </c>
      <c r="V62" s="2" t="inlineStr">
        <is>
          <t>Official issuer</t>
        </is>
      </c>
      <c r="W62" s="2" t="inlineStr">
        <is>
          <t>2026-09-09</t>
        </is>
      </c>
      <c r="X62" s="2" t="inlineStr">
        <is>
          <t>Second-pass reward/cashback research; populated only from located source material.</t>
        </is>
      </c>
    </row>
    <row r="63" ht="34" customHeight="1">
      <c r="A63" s="2" t="inlineStr">
        <is>
          <t>Axis Bank</t>
        </is>
      </c>
      <c r="B63" s="3" t="inlineStr">
        <is>
          <t>Selectable</t>
        </is>
      </c>
      <c r="C63" s="4" t="inlineStr">
        <is>
          <t>Axis Bank AURA Credit Card</t>
        </is>
      </c>
      <c r="D63" s="4" t="inlineStr">
        <is>
          <t>2 EDGE REWARD Points per ₹200 on eligible spends.</t>
        </is>
      </c>
      <c r="E63" s="4" t="inlineStr">
        <is>
          <t>5X rewards on eligible insurance spends, subject to transaction/programme limits.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>
        <is>
          <t>1% fuel surcharge waiver subject to current KFS; published cap ₹250/statement cycle.</t>
        </is>
      </c>
      <c r="R63" s="4" t="inlineStr"/>
      <c r="S63" s="5" t="inlineStr">
        <is>
          <t>https://www.axisbank.com/docs/default-source/default-document-library/sosc-credit-cards.pdf</t>
        </is>
      </c>
      <c r="T63" s="2" t="inlineStr">
        <is>
          <t>Current Axis KFS accessed 2026-09-09</t>
        </is>
      </c>
      <c r="U63" s="5" t="inlineStr">
        <is>
          <t>https://www.axis.bank.in/cards/credit-card/axis-bank-aura-credit-card</t>
        </is>
      </c>
      <c r="V63" s="2" t="inlineStr">
        <is>
          <t>Official issuer</t>
        </is>
      </c>
      <c r="W63" s="2" t="inlineStr">
        <is>
          <t>2026-09-09</t>
        </is>
      </c>
      <c r="X63" s="2" t="inlineStr">
        <is>
          <t>Second-pass reward/cashback research; populated only from located source material.</t>
        </is>
      </c>
    </row>
    <row r="64" ht="34" customHeight="1">
      <c r="A64" s="2" t="inlineStr">
        <is>
          <t>Axis Bank</t>
        </is>
      </c>
      <c r="B64" s="3" t="inlineStr">
        <is>
          <t>Selectable</t>
        </is>
      </c>
      <c r="C64" s="4" t="inlineStr">
        <is>
          <t>IndianOil Axis Bank Premium Credit Card</t>
        </is>
      </c>
      <c r="D64" s="4" t="inlineStr">
        <is>
          <t>1 EDGE Mile per ₹150 on eligible other spends.</t>
        </is>
      </c>
      <c r="E64" s="4" t="inlineStr">
        <is>
          <t>6X earn on eligible IndianOil fuel spends and 2X on eligible grocery/supermarket spends.</t>
        </is>
      </c>
      <c r="F64" s="4" t="inlineStr">
        <is>
          <t>Issuer proposition values 1 EDGE Mile at approximately ₹1 for specified redemption/transfer routes, subject to programme terms.</t>
        </is>
      </c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5" t="inlineStr">
        <is>
          <t>https://www.axisbank.com/docs/default-source/default-document-library/sosc-credit-cards.pdf</t>
        </is>
      </c>
      <c r="T64" s="2" t="inlineStr">
        <is>
          <t>Current official schedule/KFS accessed 2026-09-09</t>
        </is>
      </c>
      <c r="U64" s="5" t="inlineStr">
        <is>
          <t>https://www.axis.bank.in/cards/credit-card</t>
        </is>
      </c>
      <c r="V64" s="2" t="inlineStr">
        <is>
          <t>Official issuer</t>
        </is>
      </c>
      <c r="W64" s="2" t="inlineStr">
        <is>
          <t>2026-09-09</t>
        </is>
      </c>
      <c r="X64" s="2" t="inlineStr">
        <is>
          <t>Second-pass reward/cashback research; populated only from located source material.</t>
        </is>
      </c>
    </row>
    <row r="65" ht="34" customHeight="1">
      <c r="A65" s="2" t="inlineStr">
        <is>
          <t>Axis Bank</t>
        </is>
      </c>
      <c r="B65" s="3" t="inlineStr">
        <is>
          <t>Selectable</t>
        </is>
      </c>
      <c r="C65" s="4" t="inlineStr">
        <is>
          <t>Axis Bank Pride Platinum Credit Card</t>
        </is>
      </c>
      <c r="D65" s="4" t="inlineStr">
        <is>
          <t>4 EDGE REWARD Points per ₹200 on eligible spends.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>
        <is>
          <t>1% fuel surcharge waiver subject to current KFS; published cap ₹250/statement cycle.</t>
        </is>
      </c>
      <c r="R65" s="4" t="inlineStr"/>
      <c r="S65" s="5" t="inlineStr">
        <is>
          <t>https://www.axisbank.com/docs/default-source/default-document-library/sosc-credit-cards.pdf</t>
        </is>
      </c>
      <c r="T65" s="2" t="inlineStr">
        <is>
          <t>Current Axis KFS accessed 2026-09-09</t>
        </is>
      </c>
      <c r="U65" s="5" t="inlineStr">
        <is>
          <t>https://www.axis.bank.in/cards/credit-card</t>
        </is>
      </c>
      <c r="V65" s="2" t="inlineStr">
        <is>
          <t>Official issuer</t>
        </is>
      </c>
      <c r="W65" s="2" t="inlineStr">
        <is>
          <t>2026-09-09</t>
        </is>
      </c>
      <c r="X65" s="2" t="inlineStr">
        <is>
          <t>Second-pass reward/cashback research; populated only from located source material.</t>
        </is>
      </c>
    </row>
    <row r="66" ht="34" customHeight="1">
      <c r="A66" s="2" t="inlineStr">
        <is>
          <t>Axis Bank</t>
        </is>
      </c>
      <c r="B66" s="3" t="inlineStr">
        <is>
          <t>Selectable</t>
        </is>
      </c>
      <c r="C66" s="4" t="inlineStr">
        <is>
          <t>Axis Bank Pride Signature Credit Card</t>
        </is>
      </c>
      <c r="D66" s="4" t="inlineStr">
        <is>
          <t>8 EDGE REWARD Points per ₹200 on eligible spends.</t>
        </is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5" t="inlineStr">
        <is>
          <t>https://www.axisbank.com/docs/default-source/default-document-library/sosc-credit-cards.pdf</t>
        </is>
      </c>
      <c r="T66" s="2" t="inlineStr">
        <is>
          <t>Current official schedule/KFS accessed 2026-09-09</t>
        </is>
      </c>
      <c r="U66" s="5" t="inlineStr">
        <is>
          <t>https://www.axis.bank.in/cards/credit-card</t>
        </is>
      </c>
      <c r="V66" s="2" t="inlineStr">
        <is>
          <t>Official issuer</t>
        </is>
      </c>
      <c r="W66" s="2" t="inlineStr">
        <is>
          <t>2026-09-09</t>
        </is>
      </c>
      <c r="X66" s="2" t="inlineStr">
        <is>
          <t>Second-pass reward/cashback research; populated only from located source material.</t>
        </is>
      </c>
    </row>
    <row r="67" ht="34" customHeight="1">
      <c r="A67" s="2" t="inlineStr">
        <is>
          <t>Axis Bank</t>
        </is>
      </c>
      <c r="B67" s="3" t="inlineStr">
        <is>
          <t>Selectable</t>
        </is>
      </c>
      <c r="C67" s="4" t="inlineStr">
        <is>
          <t>SpiceJet Axis Bank Voyage Black Credit Card</t>
        </is>
      </c>
      <c r="D67" s="4" t="inlineStr">
        <is>
          <t>6 SpiceClub Points per ₹200 on eligible other domestic retail/international spends.</t>
        </is>
      </c>
      <c r="E67" s="4" t="inlineStr">
        <is>
          <t>12 SpiceClub Points per ₹200 on eligible online food, bill-payment and entertainment spends; up to 28 points per ₹200 on SpiceJet when combined with Gold-tier membership earn.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5" t="inlineStr">
        <is>
          <t>https://www.axisbank.com/docs/default-source/default-document-library/sosc-credit-cards.pdf</t>
        </is>
      </c>
      <c r="T67" s="2" t="inlineStr">
        <is>
          <t>Current official schedule/KFS accessed 2026-09-09</t>
        </is>
      </c>
      <c r="U67" s="5" t="inlineStr">
        <is>
          <t>https://www.axis.bank.in/cards/credit-card/spicejet-axis-bank-voyage-black-credit-card</t>
        </is>
      </c>
      <c r="V67" s="2" t="inlineStr">
        <is>
          <t>Official issuer</t>
        </is>
      </c>
      <c r="W67" s="2" t="inlineStr">
        <is>
          <t>2026-09-09</t>
        </is>
      </c>
      <c r="X67" s="2" t="inlineStr">
        <is>
          <t>Second-pass reward/cashback research; populated only from located source material.</t>
        </is>
      </c>
    </row>
    <row r="68" ht="34" customHeight="1">
      <c r="A68" s="2" t="inlineStr">
        <is>
          <t>Axis Bank</t>
        </is>
      </c>
      <c r="B68" s="3" t="inlineStr">
        <is>
          <t>Selectable</t>
        </is>
      </c>
      <c r="C68" s="4" t="inlineStr">
        <is>
          <t>Fibe Axis Bank Credit Card</t>
        </is>
      </c>
      <c r="D68" s="4" t="inlineStr">
        <is>
          <t>1% cashback on eligible other spends.</t>
        </is>
      </c>
      <c r="E68" s="4" t="inlineStr">
        <is>
          <t>3% cashback on eligible food, entertainment and local-commute categories.</t>
        </is>
      </c>
      <c r="F68" s="4" t="inlineStr"/>
      <c r="G68" s="4" t="inlineStr">
        <is>
          <t>Accelerated cashback capped at about ₹1,500 per statement cycle under the card proposition.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5" t="inlineStr">
        <is>
          <t>https://www.axisbank.com/docs/default-source/default-document-library/sosc-credit-cards.pdf</t>
        </is>
      </c>
      <c r="T68" s="2" t="inlineStr">
        <is>
          <t>Current official schedule/KFS accessed 2026-09-09</t>
        </is>
      </c>
      <c r="U68" s="5" t="inlineStr">
        <is>
          <t>https://www.axis.bank.in/cards/credit-card</t>
        </is>
      </c>
      <c r="V68" s="2" t="inlineStr">
        <is>
          <t>Official issuer</t>
        </is>
      </c>
      <c r="W68" s="2" t="inlineStr">
        <is>
          <t>2026-09-09</t>
        </is>
      </c>
      <c r="X68" s="2" t="inlineStr">
        <is>
          <t>Second-pass reward/cashback research; populated only from located source material.</t>
        </is>
      </c>
    </row>
    <row r="69" ht="34" customHeight="1">
      <c r="A69" s="2" t="inlineStr">
        <is>
          <t>Axis Bank</t>
        </is>
      </c>
      <c r="B69" s="3" t="inlineStr">
        <is>
          <t>Selectable</t>
        </is>
      </c>
      <c r="C69" s="4" t="inlineStr">
        <is>
          <t>Shoppers Stop Axis Bank Credit Card</t>
        </is>
      </c>
      <c r="D69" s="4" t="inlineStr">
        <is>
          <t>2 First Citizen Points per ₹200 on eligible spends outside Shoppers Stop.</t>
        </is>
      </c>
      <c r="E69" s="4" t="inlineStr">
        <is>
          <t>Accelerated First Citizen earn at Shoppers Stop, including higher earn on private labels/beauty categories under the current proposition.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5" t="inlineStr">
        <is>
          <t>https://www.axisbank.com/docs/default-source/default-document-library/sosc-credit-cards.pdf</t>
        </is>
      </c>
      <c r="T69" s="2" t="inlineStr">
        <is>
          <t>Current official schedule/KFS accessed 2026-09-09</t>
        </is>
      </c>
      <c r="U69" s="5" t="inlineStr">
        <is>
          <t>https://www.axis.bank.in/cards/credit-card</t>
        </is>
      </c>
      <c r="V69" s="2" t="inlineStr">
        <is>
          <t>Official issuer</t>
        </is>
      </c>
      <c r="W69" s="2" t="inlineStr">
        <is>
          <t>2026-09-09</t>
        </is>
      </c>
      <c r="X69" s="2" t="inlineStr">
        <is>
          <t>Second-pass reward/cashback research; populated only from located source material.</t>
        </is>
      </c>
    </row>
    <row r="70" ht="34" customHeight="1">
      <c r="A70" s="2" t="inlineStr">
        <is>
          <t>Axis Bank</t>
        </is>
      </c>
      <c r="B70" s="3" t="inlineStr">
        <is>
          <t>Selectable</t>
        </is>
      </c>
      <c r="C70" s="4" t="inlineStr">
        <is>
          <t>SpiceJet Axis Bank Voyage Credit Card</t>
        </is>
      </c>
      <c r="D70" s="4" t="inlineStr">
        <is>
          <t>3 SpiceClub Points per ₹200 on eligible other qualifying spends.</t>
        </is>
      </c>
      <c r="E70" s="4" t="inlineStr">
        <is>
          <t>6 SpiceClub Points per ₹200 on eligible online utility/food/entertainment spends; up to 18 points per ₹200 on SpiceJet when combined with Silver-tier membership earn.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5" t="inlineStr">
        <is>
          <t>https://www.axisbank.com/docs/default-source/default-document-library/sosc-credit-cards.pdf</t>
        </is>
      </c>
      <c r="T70" s="2" t="inlineStr">
        <is>
          <t>Current official schedule/KFS accessed 2026-09-09</t>
        </is>
      </c>
      <c r="U70" s="5" t="inlineStr">
        <is>
          <t>https://www.axis.bank.in/cards/credit-card/spicejet-axis-bank-voyage-credit-card</t>
        </is>
      </c>
      <c r="V70" s="2" t="inlineStr">
        <is>
          <t>Official issuer</t>
        </is>
      </c>
      <c r="W70" s="2" t="inlineStr">
        <is>
          <t>2026-09-09</t>
        </is>
      </c>
      <c r="X70" s="2" t="inlineStr">
        <is>
          <t>Second-pass reward/cashback research; populated only from located source material.</t>
        </is>
      </c>
    </row>
    <row r="71" ht="34" customHeight="1">
      <c r="A71" s="2" t="inlineStr">
        <is>
          <t>Axis Bank</t>
        </is>
      </c>
      <c r="B71" s="3" t="inlineStr">
        <is>
          <t>Selectable</t>
        </is>
      </c>
      <c r="C71" s="4" t="inlineStr">
        <is>
          <t>Samsung Axis Bank Signature Credit Card</t>
        </is>
      </c>
      <c r="D71" s="4" t="inlineStr">
        <is>
          <t>5 EDGE REWARD Points per ₹100 on eligible other spends.</t>
        </is>
      </c>
      <c r="E71" s="4" t="inlineStr">
        <is>
          <t>10 EDGE REWARD Points per ₹100 at selected accelerated partners plus 10% cashback on eligible Samsung purchases, subject to caps.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>
        <is>
          <t>1% fuel surcharge waiver subject to card-specific eligible transaction range/cap in current Axis KFS.</t>
        </is>
      </c>
      <c r="R71" s="4" t="inlineStr"/>
      <c r="S71" s="5" t="inlineStr">
        <is>
          <t>https://www.axisbank.com/docs/default-source/default-document-library/sosc-credit-cards.pdf</t>
        </is>
      </c>
      <c r="T71" s="2" t="inlineStr">
        <is>
          <t>Current Axis KFS accessed 2026-09-09</t>
        </is>
      </c>
      <c r="U71" s="5" t="inlineStr">
        <is>
          <t>https://www.axis.bank.in/cards/credit-card</t>
        </is>
      </c>
      <c r="V71" s="2" t="inlineStr">
        <is>
          <t>Official issuer</t>
        </is>
      </c>
      <c r="W71" s="2" t="inlineStr">
        <is>
          <t>2026-09-09</t>
        </is>
      </c>
      <c r="X71" s="2" t="inlineStr">
        <is>
          <t>Second-pass reward/cashback research; populated only from located source material.</t>
        </is>
      </c>
    </row>
    <row r="72" ht="34" customHeight="1">
      <c r="A72" s="2" t="inlineStr">
        <is>
          <t>Axis Bank</t>
        </is>
      </c>
      <c r="B72" s="3" t="inlineStr">
        <is>
          <t>Selectable</t>
        </is>
      </c>
      <c r="C72" s="4" t="inlineStr">
        <is>
          <t>Miles &amp; More Axis Bank Credit Card</t>
        </is>
      </c>
      <c r="D72" s="4" t="inlineStr">
        <is>
          <t>World Select variant: 6 Miles &amp; More award miles per ₹200 eligible spend; World variant: 4 miles per ₹200.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5" t="inlineStr">
        <is>
          <t>https://www.axisbank.com/docs/default-source/default-document-library/sosc-credit-cards.pdf</t>
        </is>
      </c>
      <c r="T72" s="2" t="inlineStr">
        <is>
          <t>Current official schedule/KFS accessed 2026-09-09</t>
        </is>
      </c>
      <c r="U72" s="5" t="inlineStr">
        <is>
          <t>https://www.axis.bank.in/cards/credit-card/miles-more-credit-card</t>
        </is>
      </c>
      <c r="V72" s="2" t="inlineStr">
        <is>
          <t>Official issuer</t>
        </is>
      </c>
      <c r="W72" s="2" t="inlineStr">
        <is>
          <t>2026-09-09</t>
        </is>
      </c>
      <c r="X72" s="2" t="inlineStr">
        <is>
          <t>Catalogue name spans World Select and World variants; rates are network/product-variant dependent.</t>
        </is>
      </c>
    </row>
    <row r="73" ht="34" customHeight="1">
      <c r="A73" s="2" t="inlineStr">
        <is>
          <t>Axis Bank</t>
        </is>
      </c>
      <c r="B73" s="3" t="inlineStr">
        <is>
          <t>Selectable</t>
        </is>
      </c>
      <c r="C73" s="4" t="inlineStr">
        <is>
          <t>LIC Axis Bank Signature Credit Card</t>
        </is>
      </c>
      <c r="D73" s="4" t="inlineStr">
        <is>
          <t>1 Reward Point per ₹100 on eligible other transactions.</t>
        </is>
      </c>
      <c r="E73" s="4" t="inlineStr">
        <is>
          <t>2 Reward Points per ₹100 on eligible LIC premium payments and foreign-currency transactions.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5" t="inlineStr">
        <is>
          <t>https://www.axisbank.com/docs/default-source/default-document-library/sosc-credit-cards.pdf</t>
        </is>
      </c>
      <c r="T73" s="2" t="inlineStr">
        <is>
          <t>Current official schedule/KFS accessed 2026-09-09</t>
        </is>
      </c>
      <c r="U73" s="5" t="inlineStr">
        <is>
          <t>https://www.axis.bank.in/cards/credit-card/lic-axis-bank-signature-credit-card</t>
        </is>
      </c>
      <c r="V73" s="2" t="inlineStr">
        <is>
          <t>Official issuer</t>
        </is>
      </c>
      <c r="W73" s="2" t="inlineStr">
        <is>
          <t>2026-09-09</t>
        </is>
      </c>
      <c r="X73" s="2" t="inlineStr">
        <is>
          <t>Second-pass reward/cashback research; populated only from located source material.</t>
        </is>
      </c>
    </row>
    <row r="74" ht="34" customHeight="1">
      <c r="A74" s="2" t="inlineStr">
        <is>
          <t>Axis Bank</t>
        </is>
      </c>
      <c r="B74" s="3" t="inlineStr">
        <is>
          <t>Selectable</t>
        </is>
      </c>
      <c r="C74" s="4" t="inlineStr">
        <is>
          <t>LIC Axis Bank Platinum Credit Card</t>
        </is>
      </c>
      <c r="D74" s="4" t="inlineStr">
        <is>
          <t>1 Reward Point per ₹100 on eligible other transactions.</t>
        </is>
      </c>
      <c r="E74" s="4" t="inlineStr">
        <is>
          <t>2 Reward Points per ₹100 on eligible LIC premium payments and foreign-currency transactions.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5" t="inlineStr">
        <is>
          <t>https://www.axisbank.com/docs/default-source/default-document-library/sosc-credit-cards.pdf</t>
        </is>
      </c>
      <c r="T74" s="2" t="inlineStr">
        <is>
          <t>Current official schedule/KFS accessed 2026-09-09</t>
        </is>
      </c>
      <c r="U74" s="5" t="inlineStr">
        <is>
          <t>https://www.axis.bank.in/cards/credit-card</t>
        </is>
      </c>
      <c r="V74" s="2" t="inlineStr">
        <is>
          <t>Official issuer</t>
        </is>
      </c>
      <c r="W74" s="2" t="inlineStr">
        <is>
          <t>2026-09-09</t>
        </is>
      </c>
      <c r="X74" s="2" t="inlineStr">
        <is>
          <t>Second-pass reward/cashback research; populated only from located source material.</t>
        </is>
      </c>
    </row>
    <row r="75" ht="34" customHeight="1">
      <c r="A75" s="2" t="inlineStr">
        <is>
          <t>Axis Bank</t>
        </is>
      </c>
      <c r="B75" s="6" t="inlineStr">
        <is>
          <t>Discontinued</t>
        </is>
      </c>
      <c r="C75" s="4" t="inlineStr">
        <is>
          <t>Flipkart Axis Bank Super Elite Credit Card</t>
        </is>
      </c>
      <c r="D75" s="4" t="inlineStr">
        <is>
          <t>2 SuperCoins per ₹100 on eligible spends outside Flipkart.</t>
        </is>
      </c>
      <c r="E75" s="4" t="inlineStr">
        <is>
          <t>On Flipkart: additional 6 SuperCoins/₹100 for non-Plus customers and 12/₹100 for Plus customers, on top of Flipkart loyalty earn; issuer page describes total earning up to 8 or 16 SuperCoins/₹100 respectively.</t>
        </is>
      </c>
      <c r="F75" s="4" t="inlineStr"/>
      <c r="G75" s="4" t="inlineStr">
        <is>
          <t>Flipkart transaction-level SuperCoin caps apply; outside-Flipkart 2 SuperCoins/₹100 is described as uncapped.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5" t="inlineStr">
        <is>
          <t>https://www.axisbank.com/docs/default-source/default-document-library/sosc-credit-cards.pdf</t>
        </is>
      </c>
      <c r="T75" s="2" t="inlineStr">
        <is>
          <t>Legacy/current Axis issuer terms accessed 2026-09-09; card discontinued</t>
        </is>
      </c>
      <c r="U75" s="5" t="inlineStr">
        <is>
          <t>https://www.axis.bank.in/cards/credit-card/flipkart-axis-bank-super-elite-credit-card</t>
        </is>
      </c>
      <c r="V75" s="2" t="inlineStr">
        <is>
          <t>Official issuer</t>
        </is>
      </c>
      <c r="W75" s="2" t="inlineStr">
        <is>
          <t>2026-09-09</t>
        </is>
      </c>
      <c r="X75" s="2" t="inlineStr">
        <is>
          <t>Discontinued for new applications; legacy Axis product page remains live.</t>
        </is>
      </c>
    </row>
    <row r="76" ht="34" customHeight="1">
      <c r="A76" s="2" t="inlineStr">
        <is>
          <t>Axis Bank</t>
        </is>
      </c>
      <c r="B76" s="6" t="inlineStr">
        <is>
          <t>Discontinued</t>
        </is>
      </c>
      <c r="C76" s="4" t="inlineStr">
        <is>
          <t>Samsung Axis Bank Infinite Credit Card</t>
        </is>
      </c>
      <c r="D76" s="4" t="inlineStr">
        <is>
          <t>5 EDGE REWARD Points per ₹100 on eligible domestic spends.</t>
        </is>
      </c>
      <c r="E76" s="4" t="inlineStr">
        <is>
          <t>15 EDGE REWARD Points per ₹100 at selected partners/international categories plus 10% cashback on eligible Samsung purchases.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5" t="inlineStr">
        <is>
          <t>https://www.axisbank.com/docs/default-source/default-document-library/sosc-credit-cards.pdf</t>
        </is>
      </c>
      <c r="T76" s="2" t="inlineStr">
        <is>
          <t>Legacy/current Axis issuer terms accessed 2026-09-09; card discontinued</t>
        </is>
      </c>
      <c r="U76" s="5" t="inlineStr">
        <is>
          <t>https://www.axis.bank.in/cards/credit-card/samsung-axis-bank-infinite-credit-card</t>
        </is>
      </c>
      <c r="V76" s="2" t="inlineStr">
        <is>
          <t>Official issuer</t>
        </is>
      </c>
      <c r="W76" s="2" t="inlineStr">
        <is>
          <t>2026-09-09</t>
        </is>
      </c>
      <c r="X76" s="2" t="inlineStr">
        <is>
          <t>No longer accepting applications; issuer legacy page remains live.</t>
        </is>
      </c>
    </row>
    <row r="77" ht="34" customHeight="1">
      <c r="A77" s="2" t="inlineStr">
        <is>
          <t>Axis Bank</t>
        </is>
      </c>
      <c r="B77" s="6" t="inlineStr">
        <is>
          <t>Discontinued</t>
        </is>
      </c>
      <c r="C77" s="4" t="inlineStr">
        <is>
          <t>Freecharge Axis Bank Credit Card</t>
        </is>
      </c>
      <c r="D77" s="4" t="inlineStr">
        <is>
          <t>1 EDGE REWARD Point on the issuer-defined eligible spend unit under the legacy proposition.</t>
        </is>
      </c>
      <c r="E77" s="4" t="inlineStr">
        <is>
          <t>Monthly milestone rewards: 100 points for ₹2,000-₹4,999 eligible monthly spend; total 350 points at ₹5,000+ eligible monthly spend.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5" t="inlineStr">
        <is>
          <t>https://www.axisbank.com/docs/default-source/default-document-library/sosc-credit-cards.pdf</t>
        </is>
      </c>
      <c r="T77" s="2" t="inlineStr">
        <is>
          <t>Legacy/current Axis issuer terms accessed 2026-09-09; card discontinued</t>
        </is>
      </c>
      <c r="U77" s="5" t="inlineStr">
        <is>
          <t>https://www.axis.bank.in/cards/credit-card/axis-bank-freecharge-credit-card</t>
        </is>
      </c>
      <c r="V77" s="2" t="inlineStr">
        <is>
          <t>Official issuer</t>
        </is>
      </c>
      <c r="W77" s="2" t="inlineStr">
        <is>
          <t>2026-09-09</t>
        </is>
      </c>
      <c r="X77" s="2" t="inlineStr">
        <is>
          <t>Legacy card page does not clearly expose the spend denominator beside the base 1-point statement; milestone schedule is explicit.</t>
        </is>
      </c>
    </row>
    <row r="78" ht="34" customHeight="1">
      <c r="A78" s="2" t="inlineStr">
        <is>
          <t>Axis Bank</t>
        </is>
      </c>
      <c r="B78" s="6" t="inlineStr">
        <is>
          <t>Discontinued</t>
        </is>
      </c>
      <c r="C78" s="4" t="inlineStr">
        <is>
          <t>Freecharge Plus Axis Bank Credit Card</t>
        </is>
      </c>
      <c r="D78" s="4" t="inlineStr">
        <is>
          <t>1% cashback on eligible other spends.</t>
        </is>
      </c>
      <c r="E78" s="4" t="inlineStr">
        <is>
          <t>5% cashback on eligible Freecharge spends and 2% on eligible local-commute spends.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5" t="inlineStr">
        <is>
          <t>https://www.axisbank.com/docs/default-source/default-document-library/sosc-credit-cards.pdf</t>
        </is>
      </c>
      <c r="T78" s="2" t="inlineStr">
        <is>
          <t>Legacy/current Axis issuer terms accessed 2026-09-09; card discontinued</t>
        </is>
      </c>
      <c r="U78" s="5" t="inlineStr">
        <is>
          <t>https://www.axis.bank.in/cards/credit-card/axis-bank-freecharge-plus-credit-card</t>
        </is>
      </c>
      <c r="V78" s="2" t="inlineStr">
        <is>
          <t>Official issuer</t>
        </is>
      </c>
      <c r="W78" s="2" t="inlineStr">
        <is>
          <t>2026-09-09</t>
        </is>
      </c>
      <c r="X78" s="2" t="inlineStr">
        <is>
          <t>Second-pass reward/cashback research; populated only from located source material.</t>
        </is>
      </c>
    </row>
    <row r="79" ht="34" customHeight="1">
      <c r="A79" s="2" t="inlineStr">
        <is>
          <t>Axis Bank</t>
        </is>
      </c>
      <c r="B79" s="6" t="inlineStr">
        <is>
          <t>Discontinued</t>
        </is>
      </c>
      <c r="C79" s="4" t="inlineStr">
        <is>
          <t>Vistara Axis Bank Signature Credit Card</t>
        </is>
      </c>
      <c r="D79" s="4" t="inlineStr">
        <is>
          <t>4 Maharaja Points per ₹200 on eligible spends.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5" t="inlineStr">
        <is>
          <t>https://www.axisbank.com/docs/default-source/default-document-library/sosc-credit-cards.pdf</t>
        </is>
      </c>
      <c r="T79" s="2" t="inlineStr">
        <is>
          <t>Legacy/current Axis issuer terms accessed 2026-09-09; card discontinued</t>
        </is>
      </c>
      <c r="U79" s="5" t="inlineStr">
        <is>
          <t>https://www.axis.bank.in/cards/credit-card</t>
        </is>
      </c>
      <c r="V79" s="2" t="inlineStr">
        <is>
          <t>Official issuer</t>
        </is>
      </c>
      <c r="W79" s="2" t="inlineStr">
        <is>
          <t>2026-09-09</t>
        </is>
      </c>
      <c r="X79" s="2" t="inlineStr">
        <is>
          <t>Legacy Vistara co-brand; issuer has announced discontinuation of spends after 31 October 2026, but this rate is current as of 9 September 2026.</t>
        </is>
      </c>
    </row>
    <row r="80" ht="34" customHeight="1">
      <c r="A80" s="2" t="inlineStr">
        <is>
          <t>Axis Bank</t>
        </is>
      </c>
      <c r="B80" s="6" t="inlineStr">
        <is>
          <t>Discontinued</t>
        </is>
      </c>
      <c r="C80" s="4" t="inlineStr">
        <is>
          <t>Vistara Axis Bank Credit Card</t>
        </is>
      </c>
      <c r="D80" s="4" t="inlineStr">
        <is>
          <t>2 Maharaja Points per ₹200 on eligible spends.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5" t="inlineStr">
        <is>
          <t>https://www.axisbank.com/docs/default-source/default-document-library/sosc-credit-cards.pdf</t>
        </is>
      </c>
      <c r="T80" s="2" t="inlineStr">
        <is>
          <t>Legacy/current Axis issuer terms accessed 2026-09-09; card discontinued</t>
        </is>
      </c>
      <c r="U80" s="5" t="inlineStr">
        <is>
          <t>https://www.axis.bank.in/cards/credit-card/axis-bank-vistara-credit-card</t>
        </is>
      </c>
      <c r="V80" s="2" t="inlineStr">
        <is>
          <t>Official issuer</t>
        </is>
      </c>
      <c r="W80" s="2" t="inlineStr">
        <is>
          <t>2026-09-09</t>
        </is>
      </c>
      <c r="X80" s="2" t="inlineStr">
        <is>
          <t>Current as of 9 September 2026; issuer page states spends will be discontinued after 31 October 2026.</t>
        </is>
      </c>
    </row>
    <row r="81" ht="34" customHeight="1">
      <c r="A81" s="2" t="inlineStr">
        <is>
          <t>Axis Bank</t>
        </is>
      </c>
      <c r="B81" s="6" t="inlineStr">
        <is>
          <t>Discontinued</t>
        </is>
      </c>
      <c r="C81" s="4" t="inlineStr">
        <is>
          <t>Vistara Axis Bank Infinite Credit Card</t>
        </is>
      </c>
      <c r="D81" s="4" t="inlineStr">
        <is>
          <t>6 Maharaja Points per ₹200 on eligible spends.</t>
        </is>
      </c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5" t="inlineStr">
        <is>
          <t>https://www.axisbank.com/docs/default-source/default-document-library/sosc-credit-cards.pdf</t>
        </is>
      </c>
      <c r="T81" s="2" t="inlineStr">
        <is>
          <t>Legacy/current Axis issuer terms accessed 2026-09-09; card discontinued</t>
        </is>
      </c>
      <c r="U81" s="5" t="inlineStr">
        <is>
          <t>https://www.axis.bank.in/cards/credit-card</t>
        </is>
      </c>
      <c r="V81" s="2" t="inlineStr">
        <is>
          <t>Official issuer</t>
        </is>
      </c>
      <c r="W81" s="2" t="inlineStr">
        <is>
          <t>2026-09-09</t>
        </is>
      </c>
      <c r="X81" s="2" t="inlineStr">
        <is>
          <t>Legacy Vistara co-brand; current as of 9 September 2026.</t>
        </is>
      </c>
    </row>
    <row r="82" ht="34" customHeight="1">
      <c r="A82" s="2" t="inlineStr">
        <is>
          <t>Axis Bank</t>
        </is>
      </c>
      <c r="B82" s="6" t="inlineStr">
        <is>
          <t>Discontinued</t>
        </is>
      </c>
      <c r="C82" s="4" t="inlineStr">
        <is>
          <t>Kwik Axis Bank Credit Card</t>
        </is>
      </c>
      <c r="D82" s="4" t="inlineStr">
        <is>
          <t>2 EDGE REWARD Points per ₹200 on eligible domestic and international spends.</t>
        </is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5" t="inlineStr">
        <is>
          <t>https://www.axisbank.com/docs/default-source/default-document-library/sosc-credit-cards.pdf</t>
        </is>
      </c>
      <c r="T82" s="2" t="inlineStr">
        <is>
          <t>Legacy/current Axis issuer terms accessed 2026-09-09; card discontinued</t>
        </is>
      </c>
      <c r="U82" s="5" t="inlineStr">
        <is>
          <t>https://www.axis.bank.in/cards/credit-card/axis-bank-kwik-credit-card</t>
        </is>
      </c>
      <c r="V82" s="2" t="inlineStr">
        <is>
          <t>Official issuer</t>
        </is>
      </c>
      <c r="W82" s="2" t="inlineStr">
        <is>
          <t>2026-09-09</t>
        </is>
      </c>
      <c r="X82" s="2" t="inlineStr">
        <is>
          <t>Second-pass reward/cashback research; populated only from located source material.</t>
        </is>
      </c>
    </row>
    <row r="83" ht="34" customHeight="1">
      <c r="A83" s="2" t="inlineStr">
        <is>
          <t>SBI Card</t>
        </is>
      </c>
      <c r="B83" s="3" t="inlineStr">
        <is>
          <t>Selectable</t>
        </is>
      </c>
      <c r="C83" s="4" t="inlineStr">
        <is>
          <t>CASHBACK SBI Card</t>
        </is>
      </c>
      <c r="D83" s="4" t="inlineStr">
        <is>
          <t>1% cashback on eligible offline spends.</t>
        </is>
      </c>
      <c r="E83" s="4" t="inlineStr">
        <is>
          <t>5% cashback on eligible online spends, subject to current exclusions/caps.</t>
        </is>
      </c>
      <c r="F83" s="4" t="inlineStr">
        <is>
          <t>N/A – statement cashback.</t>
        </is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5" t="inlineStr">
        <is>
          <t>https://www.sbicard.com/en/personal/sbi-credit-card.page
https://www.sbicard.com/en/most-important-terms-and-conditions.page</t>
        </is>
      </c>
      <c r="T83" s="2" t="inlineStr">
        <is>
          <t>Current official product/MITC accessed 2026-09-09; product revised 2026-04-01</t>
        </is>
      </c>
    </row>
    <row r="84" ht="34" customHeight="1">
      <c r="A84" s="2" t="inlineStr">
        <is>
          <t>SBI Card</t>
        </is>
      </c>
      <c r="B84" s="3" t="inlineStr">
        <is>
          <t>Selectable</t>
        </is>
      </c>
      <c r="C84" s="4" t="inlineStr">
        <is>
          <t>SimplyCLICK SBI Card</t>
        </is>
      </c>
      <c r="D84" s="4" t="inlineStr"/>
      <c r="E84" s="4" t="inlineStr">
        <is>
          <t>5X rewards on eligible online spends; 10X rewards at selected online partners under current programme.</t>
        </is>
      </c>
      <c r="F84" s="4" t="inlineStr"/>
      <c r="G84" s="4" t="inlineStr"/>
      <c r="H84" s="4" t="inlineStr"/>
      <c r="I84" s="4" t="inlineStr"/>
      <c r="J84" s="4" t="inlineStr"/>
      <c r="K84" s="4" t="inlineStr">
        <is>
          <t>₹499 + taxes (welcome voucher benefit subject to fee realisation).</t>
        </is>
      </c>
      <c r="L84" s="4" t="inlineStr"/>
      <c r="M84" s="4" t="inlineStr"/>
      <c r="N84" s="4" t="inlineStr"/>
      <c r="O84" s="4" t="inlineStr"/>
      <c r="P84" s="4" t="inlineStr">
        <is>
          <t>₹2,000 vouchers at ₹1 lakh and ₹2 lakh eligible annual online spend thresholds (as published).</t>
        </is>
      </c>
      <c r="Q84" s="4" t="inlineStr"/>
      <c r="R84" s="4" t="inlineStr">
        <is>
          <t>₹500 Amazon gift-card welcome benefit on eligible fee payment/current terms.</t>
        </is>
      </c>
      <c r="S84" s="5" t="inlineStr">
        <is>
          <t>https://www.sbicard.com/en/personal/sbi-credit-card.page</t>
        </is>
      </c>
      <c r="T84" s="2" t="inlineStr">
        <is>
          <t>Current official card page accessed 2026-09-09</t>
        </is>
      </c>
    </row>
    <row r="85" ht="34" customHeight="1">
      <c r="A85" s="2" t="inlineStr">
        <is>
          <t>SBI Card</t>
        </is>
      </c>
      <c r="B85" s="3" t="inlineStr">
        <is>
          <t>Selectable</t>
        </is>
      </c>
      <c r="C85" s="4" t="inlineStr">
        <is>
          <t>Tata Neu Infinity SBI Card</t>
        </is>
      </c>
      <c r="D85" s="4" t="inlineStr">
        <is>
          <t>1.5% NeuCoins on eligible non-Tata retail spends; 1.5% on eligible UPI for RuPay variant, subject to current terms.</t>
        </is>
      </c>
      <c r="E85" s="4" t="inlineStr">
        <is>
          <t>5% NeuCoins on eligible Tata ecosystem spends.</t>
        </is>
      </c>
      <c r="F85" s="4" t="inlineStr"/>
      <c r="G85" s="4" t="inlineStr"/>
      <c r="H85" s="4" t="inlineStr"/>
      <c r="I85" s="4" t="inlineStr"/>
      <c r="J85" s="4" t="inlineStr"/>
      <c r="K85" s="4" t="inlineStr">
        <is>
          <t>₹1,499 + taxes (published welcome NeuCoins benefit applies).</t>
        </is>
      </c>
      <c r="L85" s="4" t="inlineStr"/>
      <c r="M85" s="4" t="inlineStr"/>
      <c r="N85" s="4" t="inlineStr"/>
      <c r="O85" s="4" t="inlineStr">
        <is>
          <t>Up to 8 domestic lounge visits/year, max 2/quarter, subject to ₹75,000 preceding-quarter spend under current terms.</t>
        </is>
      </c>
      <c r="P85" s="4" t="inlineStr"/>
      <c r="Q85" s="4" t="inlineStr"/>
      <c r="R85" s="4" t="inlineStr">
        <is>
          <t>Welcome benefit of 1,499 NeuCoins under current card programme.</t>
        </is>
      </c>
      <c r="S85" s="5" t="inlineStr">
        <is>
          <t>https://www.sbicard.com/en/personal/sbi-credit-card.page</t>
        </is>
      </c>
      <c r="T85" s="2" t="inlineStr">
        <is>
          <t>Current official card page accessed 2026-09-09</t>
        </is>
      </c>
    </row>
    <row r="86" ht="34" customHeight="1">
      <c r="A86" s="2" t="inlineStr">
        <is>
          <t>SBI Card</t>
        </is>
      </c>
      <c r="B86" s="3" t="inlineStr">
        <is>
          <t>Selectable</t>
        </is>
      </c>
      <c r="C86" s="4" t="inlineStr">
        <is>
          <t>IndiGo SBI Card</t>
        </is>
      </c>
      <c r="D86" s="4" t="inlineStr"/>
      <c r="E86" s="4" t="inlineStr">
        <is>
          <t>3% BluChip-equivalent earning on eligible IndiGo spends; 2% on eligible hotel/lodging/travel MCC spends under current programme.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>
        <is>
          <t>Welcome/renewal benefit of 2,500 BluChips under current terms.</t>
        </is>
      </c>
      <c r="Q86" s="4" t="inlineStr"/>
      <c r="R86" s="4" t="inlineStr"/>
      <c r="S86" s="5" t="inlineStr">
        <is>
          <t>https://www.sbicard.com/en/personal/sbi-credit-card.page</t>
        </is>
      </c>
      <c r="T86" s="2" t="inlineStr">
        <is>
          <t>Current official card page accessed 2026-09-09</t>
        </is>
      </c>
    </row>
    <row r="87" ht="34" customHeight="1">
      <c r="A87" s="2" t="inlineStr">
        <is>
          <t>SBI Card</t>
        </is>
      </c>
      <c r="B87" s="3" t="inlineStr">
        <is>
          <t>Selectable</t>
        </is>
      </c>
      <c r="C87" s="4" t="inlineStr">
        <is>
          <t>IndiGo SBI Card ELITE</t>
        </is>
      </c>
      <c r="D87" s="4" t="inlineStr"/>
      <c r="E87" s="4" t="inlineStr">
        <is>
          <t>7% BluChip-equivalent earning on eligible IndiGo spends under current programme.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>
        <is>
          <t>1.99%</t>
        </is>
      </c>
      <c r="O87" s="4" t="inlineStr"/>
      <c r="P87" s="4" t="inlineStr">
        <is>
          <t>Welcome/renewal benefit includes 5,000 BluChips and one 6E Eats benefit under current terms.</t>
        </is>
      </c>
      <c r="Q87" s="4" t="inlineStr">
        <is>
          <t>1% fuel surcharge waiver subject to current SBI limits; published cap ₹400/statement cycle.</t>
        </is>
      </c>
      <c r="R87" s="4" t="inlineStr"/>
      <c r="S87" s="5" t="inlineStr">
        <is>
          <t>https://www.sbicard.com/en/personal/sbi-credit-card.page</t>
        </is>
      </c>
      <c r="T87" s="2" t="inlineStr">
        <is>
          <t>Current official card page accessed 2026-09-09</t>
        </is>
      </c>
    </row>
    <row r="88" ht="34" customHeight="1">
      <c r="A88" s="2" t="inlineStr">
        <is>
          <t>SBI Card</t>
        </is>
      </c>
      <c r="B88" s="3" t="inlineStr">
        <is>
          <t>Selectable</t>
        </is>
      </c>
      <c r="C88" s="4" t="inlineStr">
        <is>
          <t>Flipkart SBI Card</t>
        </is>
      </c>
      <c r="D88" s="4" t="inlineStr"/>
      <c r="E88" s="4" t="inlineStr">
        <is>
          <t>Up to 7.5% cashback/value on eligible Flipkart, Myntra and Cleartrip spends under current programme.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Published renewal fee applies; exact fee should be checked on current product page.</t>
        </is>
      </c>
      <c r="M88" s="4" t="inlineStr">
        <is>
          <t>Renewal fee waiver at ₹3.5 lakh eligible annual spend under current card terms.</t>
        </is>
      </c>
      <c r="N88" s="4" t="inlineStr"/>
      <c r="O88" s="4" t="inlineStr"/>
      <c r="P88" s="4" t="inlineStr"/>
      <c r="Q88" s="4" t="inlineStr">
        <is>
          <t>1% fuel surcharge waiver subject to current SBI limits; published cap ₹400/statement cycle.</t>
        </is>
      </c>
      <c r="R88" s="4" t="inlineStr">
        <is>
          <t>₹250 Flipkart gift-card welcome benefit on fee realisation under current terms.</t>
        </is>
      </c>
      <c r="S88" s="5" t="inlineStr">
        <is>
          <t>https://www.sbicard.com/en/personal/sbi-credit-card.page</t>
        </is>
      </c>
      <c r="T88" s="2" t="inlineStr">
        <is>
          <t>Current official card page accessed 2026-09-09</t>
        </is>
      </c>
    </row>
    <row r="89" ht="22" customHeight="1">
      <c r="A89" s="2" t="inlineStr">
        <is>
          <t>SBI Card</t>
        </is>
      </c>
      <c r="B89" s="3" t="inlineStr">
        <is>
          <t>Selectable</t>
        </is>
      </c>
      <c r="C89" s="4" t="inlineStr">
        <is>
          <t>Apollo SBI Card SELECT</t>
        </is>
      </c>
      <c r="D89" s="4" t="inlineStr">
        <is>
          <t>1 Reward Point per ₹200 on eligible other spends.</t>
        </is>
      </c>
      <c r="E89" s="4" t="inlineStr">
        <is>
          <t>10 Reward Points per ₹100 on eligible Apollo spends and 2 Reward Points per ₹100 on eligible dining, movies, entertainment and travel.</t>
        </is>
      </c>
      <c r="F89" s="4" t="inlineStr">
        <is>
          <t>1 Reward Point = ₹1 Health Credit for eligible Apollo redemptions, subject to programme rules.</t>
        </is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5" t="inlineStr">
        <is>
          <t>https://www.sbicard.com/en/personal/sbi-credit-card.page</t>
        </is>
      </c>
      <c r="T89" s="2" t="inlineStr">
        <is>
          <t>Current official catalogue accessed 2026-09-09</t>
        </is>
      </c>
      <c r="U89" s="5" t="inlineStr">
        <is>
          <t>https://www.sbicard.com/en/personal/sbi-credit-card.page</t>
        </is>
      </c>
      <c r="V89" s="2" t="inlineStr">
        <is>
          <t>Official issuer</t>
        </is>
      </c>
      <c r="W89" s="2" t="inlineStr">
        <is>
          <t>2026-09-09</t>
        </is>
      </c>
      <c r="X89" s="2" t="inlineStr">
        <is>
          <t>Second-pass reward/cashback research; populated only from located source material.</t>
        </is>
      </c>
    </row>
    <row r="90" ht="34" customHeight="1">
      <c r="A90" s="2" t="inlineStr">
        <is>
          <t>SBI Card</t>
        </is>
      </c>
      <c r="B90" s="3" t="inlineStr">
        <is>
          <t>Selectable</t>
        </is>
      </c>
      <c r="C90" s="4" t="inlineStr">
        <is>
          <t>Tata Neu Plus SBI Card</t>
        </is>
      </c>
      <c r="D90" s="4" t="inlineStr">
        <is>
          <t>1% NeuCoins on eligible non-Tata retail spends; 1% on eligible UPI for RuPay variant.</t>
        </is>
      </c>
      <c r="E90" s="4" t="inlineStr">
        <is>
          <t>2% NeuCoins on eligible Tata ecosystem spends.</t>
        </is>
      </c>
      <c r="F90" s="4" t="inlineStr"/>
      <c r="G90" s="4" t="inlineStr"/>
      <c r="H90" s="4" t="inlineStr"/>
      <c r="I90" s="4" t="inlineStr"/>
      <c r="J90" s="4" t="inlineStr"/>
      <c r="K90" s="4" t="inlineStr">
        <is>
          <t>₹499 + taxes</t>
        </is>
      </c>
      <c r="L90" s="4" t="inlineStr"/>
      <c r="M90" s="4" t="inlineStr"/>
      <c r="N90" s="4" t="inlineStr"/>
      <c r="O90" s="4" t="inlineStr">
        <is>
          <t>Up to 4 domestic lounge visits/year, max 1/quarter, subject to ₹50,000 preceding-quarter spend under current terms.</t>
        </is>
      </c>
      <c r="P90" s="4" t="inlineStr"/>
      <c r="Q90" s="4" t="inlineStr"/>
      <c r="R90" s="4" t="inlineStr">
        <is>
          <t>Welcome benefit of 499 NeuCoins under current card programme.</t>
        </is>
      </c>
      <c r="S90" s="5" t="inlineStr">
        <is>
          <t>https://www.sbicard.com/en/personal/sbi-credit-card.page</t>
        </is>
      </c>
      <c r="T90" s="2" t="inlineStr">
        <is>
          <t>Current official card page accessed 2026-09-09</t>
        </is>
      </c>
    </row>
    <row r="91" ht="22" customHeight="1">
      <c r="A91" s="2" t="inlineStr">
        <is>
          <t>SBI Card</t>
        </is>
      </c>
      <c r="B91" s="3" t="inlineStr">
        <is>
          <t>Selectable</t>
        </is>
      </c>
      <c r="C91" s="4" t="inlineStr">
        <is>
          <t>KrisFlyer SBI Card</t>
        </is>
      </c>
      <c r="D91" s="4" t="inlineStr">
        <is>
          <t>2 KrisFlyer miles per ₹200 on eligible spends.</t>
        </is>
      </c>
      <c r="E91" s="4" t="inlineStr">
        <is>
          <t>5 KrisFlyer miles per ₹200 on eligible Singapore Airlines and international spends.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5" t="inlineStr">
        <is>
          <t>https://www.sbicard.com/en/personal/sbi-credit-card.page</t>
        </is>
      </c>
      <c r="T91" s="2" t="inlineStr">
        <is>
          <t>Current official catalogue accessed 2026-09-09</t>
        </is>
      </c>
      <c r="U91" s="5" t="inlineStr">
        <is>
          <t>https://www.sbicard.com/en/personal/sbi-credit-card.page</t>
        </is>
      </c>
      <c r="V91" s="2" t="inlineStr">
        <is>
          <t>Official issuer</t>
        </is>
      </c>
      <c r="W91" s="2" t="inlineStr">
        <is>
          <t>2026-09-09</t>
        </is>
      </c>
      <c r="X91" s="2" t="inlineStr">
        <is>
          <t>Second-pass reward/cashback research; populated only from located source material.</t>
        </is>
      </c>
    </row>
    <row r="92" ht="22" customHeight="1">
      <c r="A92" s="2" t="inlineStr">
        <is>
          <t>SBI Card</t>
        </is>
      </c>
      <c r="B92" s="3" t="inlineStr">
        <is>
          <t>Selectable</t>
        </is>
      </c>
      <c r="C92" s="4" t="inlineStr">
        <is>
          <t>KrisFlyer SBI Card Apex</t>
        </is>
      </c>
      <c r="D92" s="4" t="inlineStr">
        <is>
          <t>6 KrisFlyer miles per ₹200 on eligible spends.</t>
        </is>
      </c>
      <c r="E92" s="4" t="inlineStr">
        <is>
          <t>10 miles per ₹200 on eligible Singapore Airlines spends and 8 per ₹200 on eligible international spends.</t>
        </is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5" t="inlineStr">
        <is>
          <t>https://www.sbicard.com/en/personal/sbi-credit-card.page</t>
        </is>
      </c>
      <c r="T92" s="2" t="inlineStr">
        <is>
          <t>Current official catalogue accessed 2026-09-09</t>
        </is>
      </c>
      <c r="U92" s="5" t="inlineStr">
        <is>
          <t>https://www.sbicard.com/en/personal/sbi-credit-card.page</t>
        </is>
      </c>
      <c r="V92" s="2" t="inlineStr">
        <is>
          <t>Official issuer</t>
        </is>
      </c>
      <c r="W92" s="2" t="inlineStr">
        <is>
          <t>2026-09-09</t>
        </is>
      </c>
      <c r="X92" s="2" t="inlineStr">
        <is>
          <t>Second-pass reward/cashback research; populated only from located source material.</t>
        </is>
      </c>
    </row>
    <row r="93" ht="34" customHeight="1">
      <c r="A93" s="2" t="inlineStr">
        <is>
          <t>SBI Card</t>
        </is>
      </c>
      <c r="B93" s="3" t="inlineStr">
        <is>
          <t>Selectable</t>
        </is>
      </c>
      <c r="C93" s="4" t="inlineStr">
        <is>
          <t>SBI Card Miles Elite</t>
        </is>
      </c>
      <c r="D93" s="4" t="inlineStr">
        <is>
          <t>Travel Credits on eligible spends; current product page specifies earn categories.</t>
        </is>
      </c>
      <c r="E93" s="4" t="inlineStr">
        <is>
          <t>6 Travel Credits/₹200 on eligible travel spends under current terms.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>
        <is>
          <t>Welcome 5,000 Travel Credits; up to 20,000 bonus Travel Credits at ₹12 lakh eligible annual spend.</t>
        </is>
      </c>
      <c r="Q93" s="4" t="inlineStr"/>
      <c r="R93" s="4" t="inlineStr">
        <is>
          <t>Travel Credits can be transferred/redeemed to participating airline/hotel/travel/catalogue partners under current terms.</t>
        </is>
      </c>
      <c r="S93" s="5" t="inlineStr">
        <is>
          <t>https://www.sbicard.com/en/personal/sbi-credit-card.page</t>
        </is>
      </c>
      <c r="T93" s="2" t="inlineStr">
        <is>
          <t>Current official card page accessed 2026-09-09</t>
        </is>
      </c>
    </row>
    <row r="94" ht="22" customHeight="1">
      <c r="A94" s="2" t="inlineStr">
        <is>
          <t>SBI Card</t>
        </is>
      </c>
      <c r="B94" s="3" t="inlineStr">
        <is>
          <t>Selectable</t>
        </is>
      </c>
      <c r="C94" s="4" t="inlineStr">
        <is>
          <t>SBI Card MILES PRIME</t>
        </is>
      </c>
      <c r="D94" s="4" t="inlineStr">
        <is>
          <t>2 Travel Credits per ₹200 on eligible spends.</t>
        </is>
      </c>
      <c r="E94" s="4" t="inlineStr">
        <is>
          <t>4 Travel Credits per ₹200 on eligible travel spends.</t>
        </is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5" t="inlineStr">
        <is>
          <t>https://www.sbicard.com/en/personal/sbi-credit-card.page</t>
        </is>
      </c>
      <c r="T94" s="2" t="inlineStr">
        <is>
          <t>Current official catalogue accessed 2026-09-09</t>
        </is>
      </c>
      <c r="U94" s="5" t="inlineStr">
        <is>
          <t>https://www.sbicard.com/en/personal/sbi-credit-card.page</t>
        </is>
      </c>
      <c r="V94" s="2" t="inlineStr">
        <is>
          <t>Official issuer</t>
        </is>
      </c>
      <c r="W94" s="2" t="inlineStr">
        <is>
          <t>2026-09-09</t>
        </is>
      </c>
      <c r="X94" s="2" t="inlineStr">
        <is>
          <t>Second-pass reward/cashback research; populated only from located source material.</t>
        </is>
      </c>
    </row>
    <row r="95" ht="22" customHeight="1">
      <c r="A95" s="2" t="inlineStr">
        <is>
          <t>SBI Card</t>
        </is>
      </c>
      <c r="B95" s="3" t="inlineStr">
        <is>
          <t>Selectable</t>
        </is>
      </c>
      <c r="C95" s="4" t="inlineStr">
        <is>
          <t>SBI Card MILES</t>
        </is>
      </c>
      <c r="D95" s="4" t="inlineStr">
        <is>
          <t>1 Travel Credit per ₹200 on eligible spends.</t>
        </is>
      </c>
      <c r="E95" s="4" t="inlineStr">
        <is>
          <t>2 Travel Credits per ₹200 on eligible travel spends.</t>
        </is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5" t="inlineStr">
        <is>
          <t>https://www.sbicard.com/en/personal/sbi-credit-card.page</t>
        </is>
      </c>
      <c r="T95" s="2" t="inlineStr">
        <is>
          <t>Current official catalogue accessed 2026-09-09</t>
        </is>
      </c>
      <c r="U95" s="5" t="inlineStr">
        <is>
          <t>https://www.sbicard.com/en/personal/sbi-credit-card.page</t>
        </is>
      </c>
      <c r="V95" s="2" t="inlineStr">
        <is>
          <t>Official issuer</t>
        </is>
      </c>
      <c r="W95" s="2" t="inlineStr">
        <is>
          <t>2026-09-09</t>
        </is>
      </c>
      <c r="X95" s="2" t="inlineStr">
        <is>
          <t>Second-pass reward/cashback research; populated only from located source material.</t>
        </is>
      </c>
    </row>
    <row r="96" ht="22" customHeight="1">
      <c r="A96" s="2" t="inlineStr">
        <is>
          <t>SBI Card</t>
        </is>
      </c>
      <c r="B96" s="3" t="inlineStr">
        <is>
          <t>Selectable</t>
        </is>
      </c>
      <c r="C96" s="4" t="inlineStr">
        <is>
          <t>Titan SBI Card</t>
        </is>
      </c>
      <c r="D96" s="4" t="inlineStr">
        <is>
          <t>6 Reward Points per ₹100 on eligible non-Titan spends.</t>
        </is>
      </c>
      <c r="E96" s="4" t="inlineStr">
        <is>
          <t>7.5% value back/cashback on eligible Titan spends; 5% on eligible Mia, CaratLane and Zoya spends; eligible Tanishq spends receive programme-specific voucher/value benefits.</t>
        </is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5" t="inlineStr">
        <is>
          <t>https://www.sbicard.com/en/personal/sbi-credit-card.page</t>
        </is>
      </c>
      <c r="T96" s="2" t="inlineStr">
        <is>
          <t>Current official catalogue accessed 2026-09-09</t>
        </is>
      </c>
      <c r="U96" s="5" t="inlineStr">
        <is>
          <t>https://www.sbicard.com/en/personal/sbi-credit-card.page</t>
        </is>
      </c>
      <c r="V96" s="2" t="inlineStr">
        <is>
          <t>Official issuer</t>
        </is>
      </c>
      <c r="W96" s="2" t="inlineStr">
        <is>
          <t>2026-09-09</t>
        </is>
      </c>
      <c r="X96" s="2" t="inlineStr">
        <is>
          <t>Second-pass reward/cashback research; populated only from located source material.</t>
        </is>
      </c>
    </row>
    <row r="97" ht="22" customHeight="1">
      <c r="A97" s="2" t="inlineStr">
        <is>
          <t>SBI Card</t>
        </is>
      </c>
      <c r="B97" s="3" t="inlineStr">
        <is>
          <t>Selectable</t>
        </is>
      </c>
      <c r="C97" s="4" t="inlineStr">
        <is>
          <t>Reliance SBI Card</t>
        </is>
      </c>
      <c r="D97" s="4" t="inlineStr">
        <is>
          <t>1 Reward Point per ₹100 on eligible other retail spends.</t>
        </is>
      </c>
      <c r="E97" s="4" t="inlineStr">
        <is>
          <t>10 Reward Points per ₹100 at AJIO and JioMart; 5 per ₹100 at other participating Reliance stores and eligible dining/movies.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5" t="inlineStr">
        <is>
          <t>https://www.sbicard.com/en/personal/sbi-credit-card.page</t>
        </is>
      </c>
      <c r="T97" s="2" t="inlineStr">
        <is>
          <t>Current official catalogue accessed 2026-09-09</t>
        </is>
      </c>
      <c r="U97" s="5" t="inlineStr">
        <is>
          <t>https://www.sbicard.com/sbi-card-en/assets/docs/pdf/tnc/reliance-sbi-card-tnc.pdf</t>
        </is>
      </c>
      <c r="V97" s="2" t="inlineStr">
        <is>
          <t>Official issuer</t>
        </is>
      </c>
      <c r="W97" s="2" t="inlineStr">
        <is>
          <t>2026-09-09</t>
        </is>
      </c>
      <c r="X97" s="2" t="inlineStr">
        <is>
          <t>Second-pass reward/cashback research; populated only from located source material.</t>
        </is>
      </c>
    </row>
    <row r="98" ht="22" customHeight="1">
      <c r="A98" s="2" t="inlineStr">
        <is>
          <t>SBI Card</t>
        </is>
      </c>
      <c r="B98" s="3" t="inlineStr">
        <is>
          <t>Selectable</t>
        </is>
      </c>
      <c r="C98" s="4" t="inlineStr">
        <is>
          <t>Reliance SBI Card PRIME</t>
        </is>
      </c>
      <c r="D98" s="4" t="inlineStr">
        <is>
          <t>2 Reward Points per ₹100 on eligible other spends.</t>
        </is>
      </c>
      <c r="E98" s="4" t="inlineStr">
        <is>
          <t>20 Reward Points per ₹100 at eligible AJIO/JioMart; 10 at other participating Reliance stores; 5 on selected dining/movies/entertainment/domestic-airline/international spends.</t>
        </is>
      </c>
      <c r="F98" s="4" t="inlineStr">
        <is>
          <t>4 Reward Points = ₹1 under the card rewards programme, subject to redemption route.</t>
        </is>
      </c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5" t="inlineStr">
        <is>
          <t>https://www.sbicard.com/en/personal/sbi-credit-card.page</t>
        </is>
      </c>
      <c r="T98" s="2" t="inlineStr">
        <is>
          <t>Current official catalogue accessed 2026-09-09</t>
        </is>
      </c>
      <c r="U98" s="5" t="inlineStr">
        <is>
          <t>https://www.sbicard.com/en/personal/sbi-credit-card.page</t>
        </is>
      </c>
      <c r="V98" s="2" t="inlineStr">
        <is>
          <t>Official issuer</t>
        </is>
      </c>
      <c r="W98" s="2" t="inlineStr">
        <is>
          <t>2026-09-09</t>
        </is>
      </c>
      <c r="X98" s="2" t="inlineStr">
        <is>
          <t>Second-pass reward/cashback research; populated only from located source material.</t>
        </is>
      </c>
    </row>
    <row r="99" ht="34" customHeight="1">
      <c r="A99" s="2" t="inlineStr">
        <is>
          <t>SBI Card</t>
        </is>
      </c>
      <c r="B99" s="3" t="inlineStr">
        <is>
          <t>Selectable</t>
        </is>
      </c>
      <c r="C99" s="4" t="inlineStr">
        <is>
          <t>SBI Card PULSE</t>
        </is>
      </c>
      <c r="D99" s="4" t="inlineStr">
        <is>
          <t>2 Reward Points/₹100 on eligible base spends under current reward programme.</t>
        </is>
      </c>
      <c r="E99" s="4" t="inlineStr">
        <is>
          <t>10 Reward Points/₹100 (5X) on eligible chemist/pharmacy, sports, dining and movie categories; current merchant/MCC rules apply.</t>
        </is>
      </c>
      <c r="F99" s="4" t="inlineStr"/>
      <c r="G99" s="4" t="inlineStr"/>
      <c r="H99" s="4" t="inlineStr"/>
      <c r="I99" s="4" t="inlineStr">
        <is>
          <t>Wallet MCC 6540/6541 excluded from reward earning under current SBI rewards T&amp;C.</t>
        </is>
      </c>
      <c r="J99" s="4" t="inlineStr"/>
      <c r="K99" s="4" t="inlineStr"/>
      <c r="L99" s="4" t="inlineStr">
        <is>
          <t>₹1,499 + taxes</t>
        </is>
      </c>
      <c r="M99" s="4" t="inlineStr"/>
      <c r="N99" s="4" t="inlineStr"/>
      <c r="O99" s="4" t="inlineStr"/>
      <c r="P99" s="4" t="inlineStr">
        <is>
          <t>₹1,500 e-voucher on ₹4 lakh eligible annual spend under current terms.</t>
        </is>
      </c>
      <c r="Q99" s="4" t="inlineStr"/>
      <c r="R99" s="4" t="inlineStr"/>
      <c r="S99" s="5" t="inlineStr">
        <is>
          <t>https://www.sbicard.com/en/personal/sbi-credit-card.page
https://www.sbicard.com/en/most-important-terms-and-conditions.page</t>
        </is>
      </c>
      <c r="T99" s="2" t="inlineStr">
        <is>
          <t>Current official product/reward T&amp;C accessed 2026-09-09</t>
        </is>
      </c>
    </row>
    <row r="100" ht="34" customHeight="1">
      <c r="A100" s="2" t="inlineStr">
        <is>
          <t>SBI Card</t>
        </is>
      </c>
      <c r="B100" s="3" t="inlineStr">
        <is>
          <t>Selectable</t>
        </is>
      </c>
      <c r="C100" s="4" t="inlineStr">
        <is>
          <t>BPCL SBI Card</t>
        </is>
      </c>
      <c r="D100" s="4" t="inlineStr">
        <is>
          <t>1 Reward Point per ₹100 on eligible other spends.</t>
        </is>
      </c>
      <c r="E100" s="4" t="inlineStr">
        <is>
          <t>5 Reward Points per ₹100 on eligible grocery, departmental-store, dining and movie spends; 13X total reward earn on eligible BPCL fuel spends.</t>
        </is>
      </c>
      <c r="F100" s="4" t="inlineStr">
        <is>
          <t>4 Reward Points = ₹1.</t>
        </is>
      </c>
      <c r="G100" s="4" t="inlineStr">
        <is>
          <t>Accelerated lifestyle-category spend capped at the issuer-defined monthly threshold; BPCL accelerated reward points capped under card T&amp;C.</t>
        </is>
      </c>
      <c r="H100" s="4" t="inlineStr"/>
      <c r="I100" s="4" t="inlineStr"/>
      <c r="J100" s="4" t="inlineStr"/>
      <c r="K100" s="4" t="inlineStr"/>
      <c r="L100" s="4" t="inlineStr">
        <is>
          <t>₹499 + taxes</t>
        </is>
      </c>
      <c r="M100" s="4" t="inlineStr">
        <is>
          <t>Renewal fee reversal at ₹1 lakh eligible annual spend, effective 2026-05-01 under SBI notice.</t>
        </is>
      </c>
      <c r="N100" s="4" t="inlineStr"/>
      <c r="O100" s="4" t="inlineStr"/>
      <c r="P100" s="4" t="inlineStr"/>
      <c r="Q100" s="4" t="inlineStr"/>
      <c r="R100" s="4" t="inlineStr"/>
      <c r="S100" s="5" t="inlineStr">
        <is>
          <t>https://www.sbicard.com/en/personal/sbi-credit-card.page
https://www.sbicard.com/en/most-important-terms-and-conditions.page</t>
        </is>
      </c>
      <c r="T100" s="2" t="inlineStr">
        <is>
          <t>Fee-waiver revision effective 2026-05-01; official material accessed 2026-09-09</t>
        </is>
      </c>
      <c r="U100" s="5" t="inlineStr">
        <is>
          <t>https://www.sbicard.com/en/personal/sbi-credit-card.page</t>
        </is>
      </c>
      <c r="V100" s="2" t="inlineStr">
        <is>
          <t>Official issuer</t>
        </is>
      </c>
      <c r="W100" s="2" t="inlineStr">
        <is>
          <t>2026-09-09</t>
        </is>
      </c>
      <c r="X100" s="2" t="inlineStr">
        <is>
          <t>Second-pass reward/cashback research; populated only from located source material.</t>
        </is>
      </c>
    </row>
    <row r="101" ht="22" customHeight="1">
      <c r="A101" s="2" t="inlineStr">
        <is>
          <t>SBI Card</t>
        </is>
      </c>
      <c r="B101" s="3" t="inlineStr">
        <is>
          <t>Selectable</t>
        </is>
      </c>
      <c r="C101" s="4" t="inlineStr">
        <is>
          <t>BPCL SBI Card OCTANE</t>
        </is>
      </c>
      <c r="D101" s="4" t="inlineStr">
        <is>
          <t>1 Reward Point per ₹100 on eligible other spends.</t>
        </is>
      </c>
      <c r="E101" s="4" t="inlineStr">
        <is>
          <t>25 Reward Points per ₹100 on eligible BPCL fuel/Bharat Gas spends and 10 points per ₹100 on selected grocery, departmental-store, movie and dining spends.</t>
        </is>
      </c>
      <c r="F101" s="4" t="inlineStr">
        <is>
          <t>4 Reward Points = ₹1.</t>
        </is>
      </c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5" t="inlineStr">
        <is>
          <t>https://www.sbicard.com/en/personal/sbi-credit-card.page</t>
        </is>
      </c>
      <c r="T101" s="2" t="inlineStr">
        <is>
          <t>Current official catalogue accessed 2026-09-09</t>
        </is>
      </c>
      <c r="U101" s="5" t="inlineStr">
        <is>
          <t>https://www.sbicard.com/en/personal/sbi-credit-card.page</t>
        </is>
      </c>
      <c r="V101" s="2" t="inlineStr">
        <is>
          <t>Official issuer</t>
        </is>
      </c>
      <c r="W101" s="2" t="inlineStr">
        <is>
          <t>2026-09-09</t>
        </is>
      </c>
      <c r="X101" s="2" t="inlineStr">
        <is>
          <t>Second-pass reward/cashback research; populated only from located source material.</t>
        </is>
      </c>
    </row>
    <row r="102" ht="34" customHeight="1">
      <c r="A102" s="2" t="inlineStr">
        <is>
          <t>SBI Card</t>
        </is>
      </c>
      <c r="B102" s="3" t="inlineStr">
        <is>
          <t>Selectable</t>
        </is>
      </c>
      <c r="C102" s="4" t="inlineStr">
        <is>
          <t>SBI Card ELITE</t>
        </is>
      </c>
      <c r="D102" s="4" t="inlineStr">
        <is>
          <t>2 Reward Points per ₹100 on eligible spends.</t>
        </is>
      </c>
      <c r="E102" s="4" t="inlineStr">
        <is>
          <t>5X Reward Points on eligible dining, departmental-store and grocery spends.</t>
        </is>
      </c>
      <c r="F102" s="4" t="inlineStr">
        <is>
          <t>4 Reward Points = ₹1.</t>
        </is>
      </c>
      <c r="G102" s="4" t="inlineStr"/>
      <c r="H102" s="4" t="inlineStr"/>
      <c r="I102" s="4" t="inlineStr"/>
      <c r="J102" s="4" t="inlineStr"/>
      <c r="K102" s="4" t="inlineStr"/>
      <c r="L102" s="4" t="inlineStr">
        <is>
          <t>₹4,999 + taxes</t>
        </is>
      </c>
      <c r="M102" s="4" t="inlineStr">
        <is>
          <t>Annual fee waiver at ₹10 lakh eligible annual spend under current MITC.</t>
        </is>
      </c>
      <c r="N102" s="4" t="inlineStr"/>
      <c r="O102" s="4" t="inlineStr"/>
      <c r="P102" s="4" t="inlineStr">
        <is>
          <t>Current programme advertises annual bonus rewards up to 50,000 RP (stated value ₹12,500) plus other spend milestones.</t>
        </is>
      </c>
      <c r="Q102" s="4" t="inlineStr"/>
      <c r="R102" s="4" t="inlineStr">
        <is>
          <t>Welcome voucher benefit and movie benefits published on current product page.</t>
        </is>
      </c>
      <c r="S102" s="5" t="inlineStr">
        <is>
          <t>https://www.sbicard.com/en/personal/sbi-credit-card.page
https://www.sbicard.com/en/most-important-terms-and-conditions.page</t>
        </is>
      </c>
      <c r="T102" s="2" t="inlineStr">
        <is>
          <t>Current official product/MITC accessed 2026-09-09</t>
        </is>
      </c>
      <c r="U102" s="5" t="inlineStr">
        <is>
          <t>https://www.sbicard.com/en/personal/sbi-credit-card.page</t>
        </is>
      </c>
      <c r="V102" s="2" t="inlineStr">
        <is>
          <t>Official issuer</t>
        </is>
      </c>
      <c r="W102" s="2" t="inlineStr">
        <is>
          <t>2026-09-09</t>
        </is>
      </c>
      <c r="X102" s="2" t="inlineStr">
        <is>
          <t>Second-pass reward/cashback research; populated only from located source material.</t>
        </is>
      </c>
    </row>
    <row r="103" ht="34" customHeight="1">
      <c r="A103" s="2" t="inlineStr">
        <is>
          <t>SBI Card</t>
        </is>
      </c>
      <c r="B103" s="3" t="inlineStr">
        <is>
          <t>Selectable</t>
        </is>
      </c>
      <c r="C103" s="4" t="inlineStr">
        <is>
          <t>SBI Card PRIME</t>
        </is>
      </c>
      <c r="D103" s="4" t="inlineStr"/>
      <c r="E103" s="4" t="inlineStr">
        <is>
          <t>10 RP/₹100 on eligible dining, grocery, departmental stores and movies under current rewards programme.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>
        <is>
          <t>Domestic/international lounge benefits subject to current card programme and spend conditions.</t>
        </is>
      </c>
      <c r="P103" s="4" t="inlineStr">
        <is>
          <t>Welcome benefit and spend-based vouchers published under current programme; current page advertises vouchers up to ₹11,000.</t>
        </is>
      </c>
      <c r="Q103" s="4" t="inlineStr"/>
      <c r="R103" s="4" t="inlineStr"/>
      <c r="S103" s="5" t="inlineStr">
        <is>
          <t>https://www.sbicard.com/en/personal/sbi-credit-card.page</t>
        </is>
      </c>
      <c r="T103" s="2" t="inlineStr">
        <is>
          <t>Current official product page accessed 2026-09-09</t>
        </is>
      </c>
    </row>
    <row r="104" ht="22" customHeight="1">
      <c r="A104" s="2" t="inlineStr">
        <is>
          <t>SBI Card</t>
        </is>
      </c>
      <c r="B104" s="3" t="inlineStr">
        <is>
          <t>Selectable</t>
        </is>
      </c>
      <c r="C104" s="4" t="inlineStr">
        <is>
          <t>SimplySAVE SBI Card</t>
        </is>
      </c>
      <c r="D104" s="4" t="inlineStr">
        <is>
          <t>1 Reward Point per ₹150 on eligible other spends.</t>
        </is>
      </c>
      <c r="E104" s="4" t="inlineStr">
        <is>
          <t>10X Reward Points on eligible dining, movies, departmental-store and grocery spends under the current product proposition.</t>
        </is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5" t="inlineStr">
        <is>
          <t>https://www.sbicard.com/en/personal/sbi-credit-card.page</t>
        </is>
      </c>
      <c r="T104" s="2" t="inlineStr">
        <is>
          <t>Current official catalogue accessed 2026-09-09</t>
        </is>
      </c>
      <c r="U104" s="5" t="inlineStr">
        <is>
          <t>https://www.sbicard.com/en/personal/sbi-credit-card.page</t>
        </is>
      </c>
      <c r="V104" s="2" t="inlineStr">
        <is>
          <t>Official issuer</t>
        </is>
      </c>
      <c r="W104" s="2" t="inlineStr">
        <is>
          <t>2026-09-09</t>
        </is>
      </c>
      <c r="X104" s="2" t="inlineStr">
        <is>
          <t>Second-pass reward/cashback research; populated only from located source material.</t>
        </is>
      </c>
    </row>
    <row r="105" ht="22" customHeight="1">
      <c r="A105" s="2" t="inlineStr">
        <is>
          <t>SBI Card</t>
        </is>
      </c>
      <c r="B105" s="3" t="inlineStr">
        <is>
          <t>Selectable</t>
        </is>
      </c>
      <c r="C105" s="4" t="inlineStr">
        <is>
          <t>IRCTC SBI Card Premier</t>
        </is>
      </c>
      <c r="D105" s="4" t="inlineStr">
        <is>
          <t>1 Reward Point per ₹125 on eligible non-fuel retail spends.</t>
        </is>
      </c>
      <c r="E105" s="4" t="inlineStr">
        <is>
          <t>10 Reward Points per ₹100 on eligible IRCTC rail bookings; 5 per ₹100 on eligible airfare/e-catering and 3 per ₹125 on selected dining/standing-instruction utility spends.</t>
        </is>
      </c>
      <c r="F105" s="4" t="inlineStr">
        <is>
          <t>1 Reward Point = ₹1 when redeemed on eligible IRCTC rail bookings.</t>
        </is>
      </c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5" t="inlineStr">
        <is>
          <t>https://www.sbicard.com/en/personal/sbi-credit-card.page</t>
        </is>
      </c>
      <c r="T105" s="2" t="inlineStr">
        <is>
          <t>Current official catalogue accessed 2026-09-09</t>
        </is>
      </c>
      <c r="U105" s="5" t="inlineStr">
        <is>
          <t>https://www.sbicard.com/en/personal/sbi-credit-card.page</t>
        </is>
      </c>
      <c r="V105" s="2" t="inlineStr">
        <is>
          <t>Official issuer</t>
        </is>
      </c>
      <c r="W105" s="2" t="inlineStr">
        <is>
          <t>2026-09-09</t>
        </is>
      </c>
      <c r="X105" s="2" t="inlineStr">
        <is>
          <t>Second-pass reward/cashback research; populated only from located source material.</t>
        </is>
      </c>
    </row>
    <row r="106" ht="22" customHeight="1">
      <c r="A106" s="2" t="inlineStr">
        <is>
          <t>SBI Card</t>
        </is>
      </c>
      <c r="B106" s="3" t="inlineStr">
        <is>
          <t>Selectable</t>
        </is>
      </c>
      <c r="C106" s="4" t="inlineStr">
        <is>
          <t>IRCTC SBI Platinum Card</t>
        </is>
      </c>
      <c r="D106" s="4" t="inlineStr">
        <is>
          <t>1 Reward Point per ₹125 on eligible non-fuel spends.</t>
        </is>
      </c>
      <c r="E106" s="4" t="inlineStr">
        <is>
          <t>10 Reward Points per ₹100 on eligible IRCTC rail-ticket bookings.</t>
        </is>
      </c>
      <c r="F106" s="4" t="inlineStr">
        <is>
          <t>1 Reward Point = ₹1 for eligible IRCTC redemption.</t>
        </is>
      </c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5" t="inlineStr">
        <is>
          <t>https://www.sbicard.com/en/personal/sbi-credit-card.page</t>
        </is>
      </c>
      <c r="T106" s="2" t="inlineStr">
        <is>
          <t>Current official catalogue accessed 2026-09-09</t>
        </is>
      </c>
      <c r="U106" s="5" t="inlineStr">
        <is>
          <t>https://www.sbicard.com/en/personal/sbi-credit-card.page</t>
        </is>
      </c>
      <c r="V106" s="2" t="inlineStr">
        <is>
          <t>Official issuer</t>
        </is>
      </c>
      <c r="W106" s="2" t="inlineStr">
        <is>
          <t>2026-09-09</t>
        </is>
      </c>
      <c r="X106" s="2" t="inlineStr">
        <is>
          <t>Second-pass reward/cashback research; populated only from located source material.</t>
        </is>
      </c>
    </row>
    <row r="107" ht="22" customHeight="1">
      <c r="A107" s="2" t="inlineStr">
        <is>
          <t>SBI Card</t>
        </is>
      </c>
      <c r="B107" s="3" t="inlineStr">
        <is>
          <t>Selectable</t>
        </is>
      </c>
      <c r="C107" s="4" t="inlineStr">
        <is>
          <t>Landmark Rewards SBI Card</t>
        </is>
      </c>
      <c r="D107" s="4" t="inlineStr">
        <is>
          <t>1 Reward Point per ₹100 on eligible other spends.</t>
        </is>
      </c>
      <c r="E107" s="4" t="inlineStr">
        <is>
          <t>10 Reward Points per ₹100 at eligible Landmark brands and 5 per ₹100 on selected dining, movies and international spends.</t>
        </is>
      </c>
      <c r="F107" s="4" t="inlineStr">
        <is>
          <t>4 Reward Points = ₹1.</t>
        </is>
      </c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5" t="inlineStr">
        <is>
          <t>https://www.sbicard.com/en/personal/sbi-credit-card.page</t>
        </is>
      </c>
      <c r="T107" s="2" t="inlineStr">
        <is>
          <t>Current official catalogue accessed 2026-09-09</t>
        </is>
      </c>
      <c r="U107" s="5" t="inlineStr">
        <is>
          <t>https://www.sbicard.com/en/personal/sbi-credit-card.page</t>
        </is>
      </c>
      <c r="V107" s="2" t="inlineStr">
        <is>
          <t>Official issuer</t>
        </is>
      </c>
      <c r="W107" s="2" t="inlineStr">
        <is>
          <t>2026-09-09</t>
        </is>
      </c>
      <c r="X107" s="2" t="inlineStr">
        <is>
          <t>Second-pass reward/cashback research; populated only from located source material.</t>
        </is>
      </c>
    </row>
    <row r="108" ht="22" customHeight="1">
      <c r="A108" s="2" t="inlineStr">
        <is>
          <t>SBI Card</t>
        </is>
      </c>
      <c r="B108" s="3" t="inlineStr">
        <is>
          <t>Selectable</t>
        </is>
      </c>
      <c r="C108" s="4" t="inlineStr">
        <is>
          <t>Landmark Rewards SBI Card SELECT</t>
        </is>
      </c>
      <c r="D108" s="4" t="inlineStr">
        <is>
          <t>2 Reward Points per ₹100 on eligible other spends.</t>
        </is>
      </c>
      <c r="E108" s="4" t="inlineStr">
        <is>
          <t>15 Reward Points per ₹100 at eligible Landmark brands and 10 per ₹100 on selected dining, movies and international spends.</t>
        </is>
      </c>
      <c r="F108" s="4" t="inlineStr">
        <is>
          <t>4 Reward Points = ₹1.</t>
        </is>
      </c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5" t="inlineStr">
        <is>
          <t>https://www.sbicard.com/en/personal/sbi-credit-card.page</t>
        </is>
      </c>
      <c r="T108" s="2" t="inlineStr">
        <is>
          <t>Current official catalogue accessed 2026-09-09</t>
        </is>
      </c>
      <c r="U108" s="5" t="inlineStr">
        <is>
          <t>https://www.sbicard.com/en/personal/sbi-credit-card.page</t>
        </is>
      </c>
      <c r="V108" s="2" t="inlineStr">
        <is>
          <t>Official issuer</t>
        </is>
      </c>
      <c r="W108" s="2" t="inlineStr">
        <is>
          <t>2026-09-09</t>
        </is>
      </c>
      <c r="X108" s="2" t="inlineStr">
        <is>
          <t>Second-pass reward/cashback research; populated only from located source material.</t>
        </is>
      </c>
    </row>
    <row r="109" ht="22" customHeight="1">
      <c r="A109" s="2" t="inlineStr">
        <is>
          <t>SBI Card</t>
        </is>
      </c>
      <c r="B109" s="3" t="inlineStr">
        <is>
          <t>Selectable</t>
        </is>
      </c>
      <c r="C109" s="4" t="inlineStr">
        <is>
          <t>Landmark Rewards SBI Card PRIME</t>
        </is>
      </c>
      <c r="D109" s="4" t="inlineStr">
        <is>
          <t>2 Reward Points per ₹100 on eligible other spends.</t>
        </is>
      </c>
      <c r="E109" s="4" t="inlineStr">
        <is>
          <t>25 Reward Points per ₹100 at eligible Landmark brands and 10 per ₹100 on selected dining, movies and international spends.</t>
        </is>
      </c>
      <c r="F109" s="4" t="inlineStr">
        <is>
          <t>4 Reward Points = ₹1.</t>
        </is>
      </c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5" t="inlineStr">
        <is>
          <t>https://www.sbicard.com/en/personal/sbi-credit-card.page</t>
        </is>
      </c>
      <c r="T109" s="2" t="inlineStr">
        <is>
          <t>Current official catalogue accessed 2026-09-09</t>
        </is>
      </c>
      <c r="U109" s="5" t="inlineStr">
        <is>
          <t>https://www.sbicard.com/en/personal/sbi-credit-card.page</t>
        </is>
      </c>
      <c r="V109" s="2" t="inlineStr">
        <is>
          <t>Official issuer</t>
        </is>
      </c>
      <c r="W109" s="2" t="inlineStr">
        <is>
          <t>2026-09-09</t>
        </is>
      </c>
      <c r="X109" s="2" t="inlineStr">
        <is>
          <t>Second-pass reward/cashback research; populated only from located source material.</t>
        </is>
      </c>
    </row>
    <row r="110" ht="34" customHeight="1">
      <c r="A110" s="2" t="inlineStr">
        <is>
          <t>Kotak Mahindra Bank</t>
        </is>
      </c>
      <c r="B110" s="3" t="inlineStr">
        <is>
          <t>Selectable</t>
        </is>
      </c>
      <c r="C110" s="4" t="inlineStr">
        <is>
          <t>Kotak Cashback+ Credit Card</t>
        </is>
      </c>
      <c r="D110" s="4" t="inlineStr">
        <is>
          <t>0.5% cashback/value on other eligible spends.</t>
        </is>
      </c>
      <c r="E110" s="4" t="inlineStr">
        <is>
          <t>5% on eligible online food, grocery and entertainment; 3% on eligible fuel under current programme.</t>
        </is>
      </c>
      <c r="F110" s="4" t="inlineStr"/>
      <c r="G110" s="4" t="inlineStr"/>
      <c r="H110" s="4" t="inlineStr"/>
      <c r="I110" s="4" t="inlineStr"/>
      <c r="J110" s="4" t="inlineStr"/>
      <c r="K110" s="4" t="inlineStr">
        <is>
          <t>₹750</t>
        </is>
      </c>
      <c r="L110" s="4" t="inlineStr">
        <is>
          <t>₹750</t>
        </is>
      </c>
      <c r="M110" s="4" t="inlineStr"/>
      <c r="N110" s="4" t="inlineStr"/>
      <c r="O110" s="4" t="inlineStr"/>
      <c r="P110" s="4" t="inlineStr"/>
      <c r="Q110" s="4" t="inlineStr"/>
      <c r="R110" s="4" t="inlineStr"/>
      <c r="S110" s="5" t="inlineStr">
        <is>
          <t>https://www.kotak.bank.in/en/personal-banking/cards/credit-cards.html</t>
        </is>
      </c>
      <c r="T110" s="2" t="inlineStr">
        <is>
          <t>Current official catalogue accessed 2026-09-09</t>
        </is>
      </c>
    </row>
    <row r="111" ht="34" customHeight="1">
      <c r="A111" s="2" t="inlineStr">
        <is>
          <t>Kotak Mahindra Bank</t>
        </is>
      </c>
      <c r="B111" s="3" t="inlineStr">
        <is>
          <t>Selectable</t>
        </is>
      </c>
      <c r="C111" s="4" t="inlineStr">
        <is>
          <t>IndianOil Kotak Credit Card</t>
        </is>
      </c>
      <c r="D111" s="4" t="inlineStr"/>
      <c r="E111" s="4" t="inlineStr">
        <is>
          <t>5% value on eligible IndianOil fuel spends; 2% reward-point value on eligible grocery/dining spends.</t>
        </is>
      </c>
      <c r="F111" s="4" t="inlineStr"/>
      <c r="G111" s="4" t="inlineStr"/>
      <c r="H111" s="4" t="inlineStr"/>
      <c r="I111" s="4" t="inlineStr"/>
      <c r="J111" s="4" t="inlineStr"/>
      <c r="K111" s="4" t="inlineStr">
        <is>
          <t>₹449</t>
        </is>
      </c>
      <c r="L111" s="4" t="inlineStr">
        <is>
          <t>₹449</t>
        </is>
      </c>
      <c r="M111" s="4" t="inlineStr">
        <is>
          <t>Annual fee waiver at ₹50,000 eligible annual spend.</t>
        </is>
      </c>
      <c r="N111" s="4" t="inlineStr"/>
      <c r="O111" s="4" t="inlineStr"/>
      <c r="P111" s="4" t="inlineStr"/>
      <c r="Q111" s="4" t="inlineStr"/>
      <c r="R111" s="4" t="inlineStr"/>
      <c r="S111" s="5" t="inlineStr">
        <is>
          <t>https://www.kotak.bank.in/en/personal-banking/cards/credit-cards.html</t>
        </is>
      </c>
      <c r="T111" s="2" t="inlineStr">
        <is>
          <t>Current official catalogue accessed 2026-09-09</t>
        </is>
      </c>
    </row>
    <row r="112" ht="22" customHeight="1">
      <c r="A112" s="2" t="inlineStr">
        <is>
          <t>Kotak Mahindra Bank</t>
        </is>
      </c>
      <c r="B112" s="3" t="inlineStr">
        <is>
          <t>Selectable</t>
        </is>
      </c>
      <c r="C112" s="4" t="inlineStr">
        <is>
          <t>Kotak UPI RuPay Credit Card</t>
        </is>
      </c>
      <c r="D112" s="4" t="inlineStr">
        <is>
          <t>3 Reward Points/₹100 on eligible spends under current programme.</t>
        </is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>
        <is>
          <t>Nil</t>
        </is>
      </c>
      <c r="L112" s="4" t="inlineStr">
        <is>
          <t>Nil</t>
        </is>
      </c>
      <c r="M112" s="4" t="inlineStr"/>
      <c r="N112" s="4" t="inlineStr"/>
      <c r="O112" s="4" t="inlineStr"/>
      <c r="P112" s="4" t="inlineStr"/>
      <c r="Q112" s="4" t="inlineStr"/>
      <c r="R112" s="4" t="inlineStr">
        <is>
          <t>Virtual RuPay card supporting eligible UPI payments.</t>
        </is>
      </c>
      <c r="S112" s="5" t="inlineStr">
        <is>
          <t>https://www.kotak.bank.in/en/personal-banking/cards/credit-cards.html</t>
        </is>
      </c>
      <c r="T112" s="2" t="inlineStr">
        <is>
          <t>Current official catalogue accessed 2026-09-09</t>
        </is>
      </c>
    </row>
    <row r="113" ht="22" customHeight="1">
      <c r="A113" s="2" t="inlineStr">
        <is>
          <t>Kotak Mahindra Bank</t>
        </is>
      </c>
      <c r="B113" s="3" t="inlineStr">
        <is>
          <t>Selectable</t>
        </is>
      </c>
      <c r="C113" s="4" t="inlineStr">
        <is>
          <t>Kotak Zen Signature Credit Card</t>
        </is>
      </c>
      <c r="D113" s="4" t="inlineStr">
        <is>
          <t>5 Zen Points/₹150 on other eligible spends.</t>
        </is>
      </c>
      <c r="E113" s="4" t="inlineStr">
        <is>
          <t>10 Zen Points/₹150 on eligible shopping spends.</t>
        </is>
      </c>
      <c r="F113" s="4" t="inlineStr"/>
      <c r="G113" s="4" t="inlineStr"/>
      <c r="H113" s="4" t="inlineStr"/>
      <c r="I113" s="4" t="inlineStr"/>
      <c r="J113" s="4" t="inlineStr"/>
      <c r="K113" s="4" t="inlineStr">
        <is>
          <t>₹1,500</t>
        </is>
      </c>
      <c r="L113" s="4" t="inlineStr">
        <is>
          <t>₹1,500</t>
        </is>
      </c>
      <c r="M113" s="4" t="inlineStr"/>
      <c r="N113" s="4" t="inlineStr"/>
      <c r="O113" s="4" t="inlineStr"/>
      <c r="P113" s="4" t="inlineStr"/>
      <c r="Q113" s="4" t="inlineStr"/>
      <c r="R113" s="4" t="inlineStr"/>
      <c r="S113" s="5" t="inlineStr">
        <is>
          <t>https://www.kotak.bank.in/en/personal-banking/cards/credit-cards.html</t>
        </is>
      </c>
      <c r="T113" s="2" t="inlineStr">
        <is>
          <t>Current official catalogue accessed 2026-09-09</t>
        </is>
      </c>
    </row>
    <row r="114" ht="22" customHeight="1">
      <c r="A114" s="2" t="inlineStr">
        <is>
          <t>Kotak Mahindra Bank</t>
        </is>
      </c>
      <c r="B114" s="3" t="inlineStr">
        <is>
          <t>Selectable</t>
        </is>
      </c>
      <c r="C114" s="4" t="inlineStr">
        <is>
          <t>Kotak Air+ Credit Card</t>
        </is>
      </c>
      <c r="D114" s="4" t="inlineStr">
        <is>
          <t>2 Air Miles/₹100 on other eligible spends.</t>
        </is>
      </c>
      <c r="E114" s="4" t="inlineStr">
        <is>
          <t>5 Air Miles/₹100 on eligible travel bookings through Kotak Unbox.</t>
        </is>
      </c>
      <c r="F114" s="4" t="inlineStr"/>
      <c r="G114" s="4" t="inlineStr"/>
      <c r="H114" s="4" t="inlineStr"/>
      <c r="I114" s="4" t="inlineStr"/>
      <c r="J114" s="4" t="inlineStr"/>
      <c r="K114" s="4" t="inlineStr">
        <is>
          <t>₹3,000</t>
        </is>
      </c>
      <c r="L114" s="4" t="inlineStr">
        <is>
          <t>₹3,000</t>
        </is>
      </c>
      <c r="M114" s="4" t="inlineStr"/>
      <c r="N114" s="4" t="inlineStr">
        <is>
          <t>2%</t>
        </is>
      </c>
      <c r="O114" s="4" t="inlineStr">
        <is>
          <t>2 international and 4 domestic lounge visits/year under current programme.</t>
        </is>
      </c>
      <c r="P114" s="4" t="inlineStr">
        <is>
          <t>2,500 Air Miles welcome/renewal benefit under current terms.</t>
        </is>
      </c>
      <c r="Q114" s="4" t="inlineStr"/>
      <c r="R114" s="4" t="inlineStr"/>
      <c r="S114" s="5" t="inlineStr">
        <is>
          <t>https://www.kotak.bank.in/en/personal-banking/cards/credit-cards.html</t>
        </is>
      </c>
      <c r="T114" s="2" t="inlineStr">
        <is>
          <t>Current official catalogue accessed 2026-09-09</t>
        </is>
      </c>
    </row>
    <row r="115" ht="34" customHeight="1">
      <c r="A115" s="2" t="inlineStr">
        <is>
          <t>Kotak Mahindra Bank</t>
        </is>
      </c>
      <c r="B115" s="3" t="inlineStr">
        <is>
          <t>Selectable</t>
        </is>
      </c>
      <c r="C115" s="4" t="inlineStr">
        <is>
          <t>Kotak League Platinum Credit Card</t>
        </is>
      </c>
      <c r="D115" s="4" t="inlineStr">
        <is>
          <t>Up to 8 Reward Points/₹150 under current earn structure.</t>
        </is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>
        <is>
          <t>₹499 or Nil depending eligible offer/variant.</t>
        </is>
      </c>
      <c r="L115" s="4" t="inlineStr">
        <is>
          <t>₹499</t>
        </is>
      </c>
      <c r="M115" s="4" t="inlineStr">
        <is>
          <t>Annual fee waiver at ₹50,000 eligible annual spend.</t>
        </is>
      </c>
      <c r="N115" s="4" t="inlineStr"/>
      <c r="O115" s="4" t="inlineStr"/>
      <c r="P115" s="4" t="inlineStr">
        <is>
          <t>Every six months, published milestone choice includes 4 PVR tickets or 10,000 RP at ₹1.25 lakh eligible spend.</t>
        </is>
      </c>
      <c r="Q115" s="4" t="inlineStr"/>
      <c r="R115" s="4" t="inlineStr"/>
      <c r="S115" s="5" t="inlineStr">
        <is>
          <t>https://www.kotak.bank.in/en/personal-banking/cards/credit-cards.html</t>
        </is>
      </c>
      <c r="T115" s="2" t="inlineStr">
        <is>
          <t>Current official catalogue accessed 2026-09-09</t>
        </is>
      </c>
    </row>
    <row r="116" ht="34" customHeight="1">
      <c r="A116" s="2" t="inlineStr">
        <is>
          <t>Kotak Mahindra Bank</t>
        </is>
      </c>
      <c r="B116" s="3" t="inlineStr">
        <is>
          <t>Selectable</t>
        </is>
      </c>
      <c r="C116" s="4" t="inlineStr">
        <is>
          <t>Kotak PVR INOX Credit Card</t>
        </is>
      </c>
      <c r="D116" s="4" t="inlineStr">
        <is>
          <t>No conventional base reward-point earn located; value is primarily ticket/milestone based.</t>
        </is>
      </c>
      <c r="E116" s="4" t="inlineStr">
        <is>
          <t>Earn one PVR INOX movie M-coupon (up to ₹300 value) for each ₹10,000 of qualifying monthly spend; unlimited qualifying milestones.</t>
        </is>
      </c>
      <c r="F116" s="4" t="inlineStr"/>
      <c r="G116" s="4" t="inlineStr"/>
      <c r="H116" s="4" t="inlineStr"/>
      <c r="I116" s="4" t="inlineStr"/>
      <c r="J116" s="4" t="inlineStr"/>
      <c r="K116" s="4" t="inlineStr">
        <is>
          <t>Nil</t>
        </is>
      </c>
      <c r="L116" s="4" t="inlineStr">
        <is>
          <t>₹499</t>
        </is>
      </c>
      <c r="M116" s="4" t="inlineStr"/>
      <c r="N116" s="4" t="inlineStr"/>
      <c r="O116" s="4" t="inlineStr"/>
      <c r="P116" s="4" t="inlineStr">
        <is>
          <t>One movie ticket on ₹10,000 eligible monthly spend under current programme.</t>
        </is>
      </c>
      <c r="Q116" s="4" t="inlineStr"/>
      <c r="R116" s="4" t="inlineStr">
        <is>
          <t>Published PVR INOX benefits include 20% F&amp;B and 5% ticket discount, subject to terms.</t>
        </is>
      </c>
      <c r="S116" s="5" t="inlineStr">
        <is>
          <t>https://www.kotak.bank.in/en/personal-banking/cards/credit-cards.html</t>
        </is>
      </c>
      <c r="T116" s="2" t="inlineStr">
        <is>
          <t>Current official catalogue accessed 2026-09-09</t>
        </is>
      </c>
      <c r="U116" s="5" t="inlineStr">
        <is>
          <t>https://www.kotak.bank.in/en/personal-banking/cards/credit-cards/pvr-inox-kotak-credit-card.html</t>
        </is>
      </c>
      <c r="V116" s="2" t="inlineStr">
        <is>
          <t>Official issuer</t>
        </is>
      </c>
      <c r="W116" s="2" t="inlineStr">
        <is>
          <t>2026-09-09</t>
        </is>
      </c>
      <c r="X116" s="2" t="inlineStr">
        <is>
          <t>Second-pass reward/cashback research; populated only from located source material.</t>
        </is>
      </c>
    </row>
    <row r="117" ht="34" customHeight="1">
      <c r="A117" s="2" t="inlineStr">
        <is>
          <t>Kotak Mahindra Bank</t>
        </is>
      </c>
      <c r="B117" s="3" t="inlineStr">
        <is>
          <t>Selectable</t>
        </is>
      </c>
      <c r="C117" s="4" t="inlineStr">
        <is>
          <t>Kotak White Credit Card</t>
        </is>
      </c>
      <c r="D117" s="4" t="inlineStr">
        <is>
          <t>No conventional per-transaction base earn; White Pass value is milestone based.</t>
        </is>
      </c>
      <c r="E117" s="4" t="inlineStr">
        <is>
          <t>White Pass milestone value rises with annual eligible spend, with cumulative reward value up to about ₹27,000 at ₹12 lakh annual spend under the published table.</t>
        </is>
      </c>
      <c r="F117" s="4" t="inlineStr">
        <is>
          <t>1 White Pass/Reward unit = ₹1 on selected catalogue redemption; cash redemption can be lower (about ₹0.70).</t>
        </is>
      </c>
      <c r="G117" s="4" t="inlineStr"/>
      <c r="H117" s="4" t="inlineStr"/>
      <c r="I117" s="4" t="inlineStr"/>
      <c r="J117" s="4" t="inlineStr"/>
      <c r="K117" s="4" t="inlineStr">
        <is>
          <t>₹3,000</t>
        </is>
      </c>
      <c r="L117" s="4" t="inlineStr">
        <is>
          <t>₹3,000</t>
        </is>
      </c>
      <c r="M117" s="4" t="inlineStr"/>
      <c r="N117" s="4" t="inlineStr"/>
      <c r="O117" s="4" t="inlineStr"/>
      <c r="P117" s="4" t="inlineStr">
        <is>
          <t>Premium voucher milestones under current White programme; introductory ₹1,500 voucher after ₹30,000 eligible spend within 60 days.</t>
        </is>
      </c>
      <c r="Q117" s="4" t="inlineStr"/>
      <c r="R117" s="4" t="inlineStr"/>
      <c r="S117" s="5" t="inlineStr">
        <is>
          <t>https://www.kotak.bank.in/en/personal-banking/cards/credit-cards.html</t>
        </is>
      </c>
      <c r="T117" s="2" t="inlineStr">
        <is>
          <t>Current official catalogue accessed 2026-09-09</t>
        </is>
      </c>
      <c r="U117" s="5" t="inlineStr">
        <is>
          <t>https://www.kotak.bank.in/en/personal-banking/cards/credit-cards.html</t>
        </is>
      </c>
      <c r="V117" s="2" t="inlineStr">
        <is>
          <t>Official issuer</t>
        </is>
      </c>
      <c r="W117" s="2" t="inlineStr">
        <is>
          <t>2026-09-09</t>
        </is>
      </c>
      <c r="X117" s="2" t="inlineStr">
        <is>
          <t>Second-pass reward/cashback research; populated only from located source material.</t>
        </is>
      </c>
    </row>
    <row r="118" ht="22" customHeight="1">
      <c r="A118" s="2" t="inlineStr">
        <is>
          <t>Kotak Mahindra Bank</t>
        </is>
      </c>
      <c r="B118" s="3" t="inlineStr">
        <is>
          <t>Selectable</t>
        </is>
      </c>
      <c r="C118" s="4" t="inlineStr">
        <is>
          <t>Kotak 811 Credit Card</t>
        </is>
      </c>
      <c r="D118" s="4" t="inlineStr"/>
      <c r="E118" s="4" t="inlineStr">
        <is>
          <t>2 RP/₹100 on eligible online spends under current programme.</t>
        </is>
      </c>
      <c r="F118" s="4" t="inlineStr"/>
      <c r="G118" s="4" t="inlineStr"/>
      <c r="H118" s="4" t="inlineStr"/>
      <c r="I118" s="4" t="inlineStr"/>
      <c r="J118" s="4" t="inlineStr"/>
      <c r="K118" s="4" t="inlineStr">
        <is>
          <t>₹500</t>
        </is>
      </c>
      <c r="L118" s="4" t="inlineStr">
        <is>
          <t>₹500</t>
        </is>
      </c>
      <c r="M118" s="4" t="inlineStr">
        <is>
          <t>Annual fee waiver at ₹50,000 eligible annual spend.</t>
        </is>
      </c>
      <c r="N118" s="4" t="inlineStr"/>
      <c r="O118" s="4" t="inlineStr"/>
      <c r="P118" s="4" t="inlineStr">
        <is>
          <t>₹750 cashback at ₹75,000 eligible annual spend under current programme.</t>
        </is>
      </c>
      <c r="Q118" s="4" t="inlineStr"/>
      <c r="R118" s="4" t="inlineStr"/>
      <c r="S118" s="5" t="inlineStr">
        <is>
          <t>https://www.kotak.bank.in/en/personal-banking/cards/credit-cards.html</t>
        </is>
      </c>
      <c r="T118" s="2" t="inlineStr">
        <is>
          <t>Current official catalogue accessed 2026-09-09</t>
        </is>
      </c>
    </row>
    <row r="119" ht="34" customHeight="1">
      <c r="A119" s="2" t="inlineStr">
        <is>
          <t>Kotak Mahindra Bank</t>
        </is>
      </c>
      <c r="B119" s="3" t="inlineStr">
        <is>
          <t>Selectable</t>
        </is>
      </c>
      <c r="C119" s="4" t="inlineStr">
        <is>
          <t>Kotak PVR INOX Platinum Credit Card</t>
        </is>
      </c>
      <c r="D119" s="4" t="inlineStr">
        <is>
          <t>No conventional base reward-point earn located.</t>
        </is>
      </c>
      <c r="E119" s="4" t="inlineStr">
        <is>
          <t>2 complimentary PVR INOX movie tickets per month on qualifying monthly spend of ₹10,000, subject to product rules.</t>
        </is>
      </c>
      <c r="F119" s="4" t="inlineStr"/>
      <c r="G119" s="4" t="inlineStr"/>
      <c r="H119" s="4" t="inlineStr"/>
      <c r="I119" s="4" t="inlineStr"/>
      <c r="J119" s="4" t="inlineStr"/>
      <c r="K119" s="4" t="inlineStr">
        <is>
          <t>Nil</t>
        </is>
      </c>
      <c r="L119" s="4" t="inlineStr">
        <is>
          <t>₹999</t>
        </is>
      </c>
      <c r="M119" s="4" t="inlineStr"/>
      <c r="N119" s="4" t="inlineStr"/>
      <c r="O119" s="4" t="inlineStr"/>
      <c r="P119" s="4" t="inlineStr">
        <is>
          <t>2 PVR INOX tickets/month after ₹10,000 eligible monthly spend; each ticket value subject to programme cap.</t>
        </is>
      </c>
      <c r="Q119" s="4" t="inlineStr"/>
      <c r="R119" s="4" t="inlineStr">
        <is>
          <t>Published programme includes 15% F&amp;B and 5% ticket discount.</t>
        </is>
      </c>
      <c r="S119" s="5" t="inlineStr">
        <is>
          <t>https://www.kotak.bank.in/en/personal-banking/cards/credit-cards.html</t>
        </is>
      </c>
      <c r="T119" s="2" t="inlineStr">
        <is>
          <t>Current official catalogue accessed 2026-09-09</t>
        </is>
      </c>
      <c r="U119" s="5" t="inlineStr">
        <is>
          <t>https://www.kotak.bank.in/en/personal-banking/cards/credit-cards.html</t>
        </is>
      </c>
      <c r="V119" s="2" t="inlineStr">
        <is>
          <t>Official issuer</t>
        </is>
      </c>
      <c r="W119" s="2" t="inlineStr">
        <is>
          <t>2026-09-09</t>
        </is>
      </c>
      <c r="X119" s="2" t="inlineStr">
        <is>
          <t>Second-pass reward/cashback research; populated only from located source material.</t>
        </is>
      </c>
    </row>
    <row r="120" ht="34" customHeight="1">
      <c r="A120" s="2" t="inlineStr">
        <is>
          <t>Kotak Mahindra Bank</t>
        </is>
      </c>
      <c r="B120" s="3" t="inlineStr">
        <is>
          <t>Selectable</t>
        </is>
      </c>
      <c r="C120" s="4" t="inlineStr">
        <is>
          <t>IndiGo Kotak Credit Card XL</t>
        </is>
      </c>
      <c r="D120" s="4" t="inlineStr"/>
      <c r="E120" s="4" t="inlineStr">
        <is>
          <t>Up to 21 BluChips/₹100 on eligible IndiGo spends under current programme.</t>
        </is>
      </c>
      <c r="F120" s="4" t="inlineStr"/>
      <c r="G120" s="4" t="inlineStr"/>
      <c r="H120" s="4" t="inlineStr"/>
      <c r="I120" s="4" t="inlineStr"/>
      <c r="J120" s="4" t="inlineStr"/>
      <c r="K120" s="4" t="inlineStr">
        <is>
          <t>₹3,000</t>
        </is>
      </c>
      <c r="L120" s="4" t="inlineStr">
        <is>
          <t>₹3,000</t>
        </is>
      </c>
      <c r="M120" s="4" t="inlineStr"/>
      <c r="N120" s="4" t="inlineStr"/>
      <c r="O120" s="4" t="inlineStr"/>
      <c r="P120" s="4" t="inlineStr">
        <is>
          <t>Welcome 4,000 BluChips plus 6E Eats benefit; annual milestones up to 16,000 BluChips under current terms.</t>
        </is>
      </c>
      <c r="Q120" s="4" t="inlineStr"/>
      <c r="R120" s="4" t="inlineStr"/>
      <c r="S120" s="5" t="inlineStr">
        <is>
          <t>https://www.kotak.bank.in/en/personal-banking/cards/credit-cards.html</t>
        </is>
      </c>
      <c r="T120" s="2" t="inlineStr">
        <is>
          <t>Current official catalogue accessed 2026-09-09</t>
        </is>
      </c>
    </row>
    <row r="121" ht="34" customHeight="1">
      <c r="A121" s="2" t="inlineStr">
        <is>
          <t>Kotak Mahindra Bank</t>
        </is>
      </c>
      <c r="B121" s="3" t="inlineStr">
        <is>
          <t>Selectable</t>
        </is>
      </c>
      <c r="C121" s="4" t="inlineStr">
        <is>
          <t>IndiGo Kotak Credit Card</t>
        </is>
      </c>
      <c r="D121" s="4" t="inlineStr"/>
      <c r="E121" s="4" t="inlineStr">
        <is>
          <t>Up to 19 BluChips/₹100 on eligible IndiGo spends under current programme.</t>
        </is>
      </c>
      <c r="F121" s="4" t="inlineStr"/>
      <c r="G121" s="4" t="inlineStr"/>
      <c r="H121" s="4" t="inlineStr"/>
      <c r="I121" s="4" t="inlineStr"/>
      <c r="J121" s="4" t="inlineStr"/>
      <c r="K121" s="4" t="inlineStr">
        <is>
          <t>₹1,500</t>
        </is>
      </c>
      <c r="L121" s="4" t="inlineStr">
        <is>
          <t>₹1,500</t>
        </is>
      </c>
      <c r="M121" s="4" t="inlineStr"/>
      <c r="N121" s="4" t="inlineStr"/>
      <c r="O121" s="4" t="inlineStr"/>
      <c r="P121" s="4" t="inlineStr">
        <is>
          <t>Welcome 2,500 BluChips; annual milestones up to 7,500 BluChips under current terms.</t>
        </is>
      </c>
      <c r="Q121" s="4" t="inlineStr"/>
      <c r="R121" s="4" t="inlineStr"/>
      <c r="S121" s="5" t="inlineStr">
        <is>
          <t>https://www.kotak.bank.in/en/personal-banking/cards/credit-cards.html</t>
        </is>
      </c>
      <c r="T121" s="2" t="inlineStr">
        <is>
          <t>Current official catalogue accessed 2026-09-09</t>
        </is>
      </c>
    </row>
    <row r="122" ht="22" customHeight="1">
      <c r="A122" s="2" t="inlineStr">
        <is>
          <t>Kotak Mahindra Bank</t>
        </is>
      </c>
      <c r="B122" s="3" t="inlineStr">
        <is>
          <t>Selectable</t>
        </is>
      </c>
      <c r="C122" s="4" t="inlineStr">
        <is>
          <t>Kotak 811 #DreamDifferent Credit Card</t>
        </is>
      </c>
      <c r="D122" s="4" t="inlineStr"/>
      <c r="E122" s="4" t="inlineStr">
        <is>
          <t>4 RP/₹100 on eligible online spends under current programme.</t>
        </is>
      </c>
      <c r="F122" s="4" t="inlineStr"/>
      <c r="G122" s="4" t="inlineStr"/>
      <c r="H122" s="4" t="inlineStr"/>
      <c r="I122" s="4" t="inlineStr"/>
      <c r="J122" s="4" t="inlineStr"/>
      <c r="K122" s="4" t="inlineStr">
        <is>
          <t>₹250</t>
        </is>
      </c>
      <c r="L122" s="4" t="inlineStr">
        <is>
          <t>Nil</t>
        </is>
      </c>
      <c r="M122" s="4" t="inlineStr"/>
      <c r="N122" s="4" t="inlineStr"/>
      <c r="O122" s="4" t="inlineStr"/>
      <c r="P122" s="4" t="inlineStr"/>
      <c r="Q122" s="4" t="inlineStr"/>
      <c r="R122" s="4" t="inlineStr">
        <is>
          <t>Published activation voucher and OTTPlay benefit under current programme.</t>
        </is>
      </c>
      <c r="S122" s="5" t="inlineStr">
        <is>
          <t>https://www.kotak.bank.in/en/personal-banking/cards/credit-cards.html</t>
        </is>
      </c>
      <c r="T122" s="2" t="inlineStr">
        <is>
          <t>Current official catalogue accessed 2026-09-09</t>
        </is>
      </c>
    </row>
    <row r="123" ht="34" customHeight="1">
      <c r="A123" s="2" t="inlineStr">
        <is>
          <t>Kotak Mahindra Bank</t>
        </is>
      </c>
      <c r="B123" s="3" t="inlineStr">
        <is>
          <t>Selectable</t>
        </is>
      </c>
      <c r="C123" s="4" t="inlineStr">
        <is>
          <t>Kotak PVR INOX Gold Credit Card</t>
        </is>
      </c>
      <c r="D123" s="4" t="inlineStr">
        <is>
          <t>No conventional base reward-point earn located.</t>
        </is>
      </c>
      <c r="E123" s="4" t="inlineStr">
        <is>
          <t>1 movie-ticket benefit up to the published value at ₹10,000 monthly spend; 2 tickets at the higher monthly-spend tier under the legacy PVR proposition.</t>
        </is>
      </c>
      <c r="F123" s="4" t="inlineStr"/>
      <c r="G123" s="4" t="inlineStr"/>
      <c r="H123" s="4" t="inlineStr"/>
      <c r="I123" s="4" t="inlineStr"/>
      <c r="J123" s="4" t="inlineStr"/>
      <c r="K123" s="4" t="inlineStr">
        <is>
          <t>Nil</t>
        </is>
      </c>
      <c r="L123" s="4" t="inlineStr">
        <is>
          <t>₹499</t>
        </is>
      </c>
      <c r="M123" s="4" t="inlineStr"/>
      <c r="N123" s="4" t="inlineStr"/>
      <c r="O123" s="4" t="inlineStr"/>
      <c r="P123" s="4" t="inlineStr">
        <is>
          <t>1 free PVR ticket at ₹10,000 eligible monthly spend; 2 free tickets at ₹15,000, subject to current terms.</t>
        </is>
      </c>
      <c r="Q123" s="4" t="inlineStr"/>
      <c r="R123" s="4" t="inlineStr">
        <is>
          <t>Published programme includes 15% F&amp;B benefit.</t>
        </is>
      </c>
      <c r="S123" s="5" t="inlineStr">
        <is>
          <t>https://www.kotak.bank.in/en/personal-banking/cards/credit-cards.html</t>
        </is>
      </c>
      <c r="T123" s="2" t="inlineStr">
        <is>
          <t>Current official catalogue accessed 2026-09-09</t>
        </is>
      </c>
      <c r="U123" s="5" t="inlineStr">
        <is>
          <t>https://www.kotak.bank.in/en/personal-banking/cards/credit-cards.html</t>
        </is>
      </c>
      <c r="V123" s="2" t="inlineStr">
        <is>
          <t>Official issuer</t>
        </is>
      </c>
      <c r="W123" s="2" t="inlineStr">
        <is>
          <t>2026-09-09</t>
        </is>
      </c>
      <c r="X123" s="2" t="inlineStr">
        <is>
          <t>Second-pass reward/cashback research; populated only from located source material.</t>
        </is>
      </c>
    </row>
    <row r="124" ht="34" customHeight="1">
      <c r="A124" s="2" t="inlineStr">
        <is>
          <t>Kotak Mahindra Bank</t>
        </is>
      </c>
      <c r="B124" s="3" t="inlineStr">
        <is>
          <t>Selectable</t>
        </is>
      </c>
      <c r="C124" s="4" t="inlineStr">
        <is>
          <t>Kotak White Reserve Credit Card</t>
        </is>
      </c>
      <c r="D124" s="4" t="inlineStr">
        <is>
          <t>No conventional per-transaction base earn; White Pass value is milestone based.</t>
        </is>
      </c>
      <c r="E124" s="4" t="inlineStr">
        <is>
          <t>Published White Pass annual-spend milestones culminate in cumulative reward value up to about ₹2.5 lakh at ₹1 crore annual spend.</t>
        </is>
      </c>
      <c r="F124" s="4" t="inlineStr">
        <is>
          <t>1 White Pass/Reward unit = ₹1 on selected catalogue redemption; cash redemption can be lower (about ₹0.70).</t>
        </is>
      </c>
      <c r="G124" s="4" t="inlineStr"/>
      <c r="H124" s="4" t="inlineStr"/>
      <c r="I124" s="4" t="inlineStr"/>
      <c r="J124" s="4" t="inlineStr"/>
      <c r="K124" s="4" t="inlineStr">
        <is>
          <t>₹12,500</t>
        </is>
      </c>
      <c r="L124" s="4" t="inlineStr">
        <is>
          <t>₹12,500</t>
        </is>
      </c>
      <c r="M124" s="4" t="inlineStr"/>
      <c r="N124" s="4" t="inlineStr"/>
      <c r="O124" s="4" t="inlineStr">
        <is>
          <t>Unlimited global lounge access for primary/add-on cardholders under current programme.</t>
        </is>
      </c>
      <c r="P124" s="4" t="inlineStr"/>
      <c r="Q124" s="4" t="inlineStr"/>
      <c r="R124" s="4" t="inlineStr">
        <is>
          <t>White Pass value proposition and concierge benefits under current programme.</t>
        </is>
      </c>
      <c r="S124" s="5" t="inlineStr">
        <is>
          <t>https://www.kotak.bank.in/en/personal-banking/cards/credit-cards.html</t>
        </is>
      </c>
      <c r="T124" s="2" t="inlineStr">
        <is>
          <t>Current official catalogue accessed 2026-09-09</t>
        </is>
      </c>
      <c r="U124" s="5" t="inlineStr">
        <is>
          <t>https://www.kotak.bank.in/en/personal-banking/cards/credit-cards.html</t>
        </is>
      </c>
      <c r="V124" s="2" t="inlineStr">
        <is>
          <t>Official issuer</t>
        </is>
      </c>
      <c r="W124" s="2" t="inlineStr">
        <is>
          <t>2026-09-09</t>
        </is>
      </c>
      <c r="X124" s="2" t="inlineStr">
        <is>
          <t>Second-pass reward/cashback research; populated only from located source material.</t>
        </is>
      </c>
    </row>
    <row r="125" ht="34" customHeight="1">
      <c r="A125" s="2" t="inlineStr">
        <is>
          <t>Kotak Mahindra Bank</t>
        </is>
      </c>
      <c r="B125" s="3" t="inlineStr">
        <is>
          <t>Selectable</t>
        </is>
      </c>
      <c r="C125" s="4" t="inlineStr">
        <is>
          <t>Kotak Solitaire Credit Card</t>
        </is>
      </c>
      <c r="D125" s="4" t="inlineStr"/>
      <c r="E125" s="4" t="inlineStr">
        <is>
          <t>10 Air Miles/₹100 on eligible travel bookings through Kotak Unbox under current programme.</t>
        </is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>
        <is>
          <t>0%</t>
        </is>
      </c>
      <c r="O125" s="4" t="inlineStr">
        <is>
          <t>Unlimited lounge access globally for primary/add-on cardholders under current programme.</t>
        </is>
      </c>
      <c r="P125" s="4" t="inlineStr"/>
      <c r="Q125" s="4" t="inlineStr"/>
      <c r="R125" s="4" t="inlineStr">
        <is>
          <t>Published cash-withdrawal benefit: 1% fee and no interest until due date, subject to card terms.</t>
        </is>
      </c>
      <c r="S125" s="5" t="inlineStr">
        <is>
          <t>https://www.kotak.bank.in/en/personal-banking/cards/credit-cards.html</t>
        </is>
      </c>
      <c r="T125" s="2" t="inlineStr">
        <is>
          <t>Current official catalogue accessed 2026-09-09</t>
        </is>
      </c>
    </row>
    <row r="126" ht="34" customHeight="1">
      <c r="A126" s="2" t="inlineStr">
        <is>
          <t>Kotak Mahindra Bank</t>
        </is>
      </c>
      <c r="B126" s="3" t="inlineStr">
        <is>
          <t>Selectable</t>
        </is>
      </c>
      <c r="C126" s="4" t="inlineStr">
        <is>
          <t>Kotak Infinite Credit Card</t>
        </is>
      </c>
      <c r="D126" s="4" t="inlineStr">
        <is>
          <t>No clear current per-transaction earn rate surfaced on the live issuer page.</t>
        </is>
      </c>
      <c r="E126" s="4" t="inlineStr">
        <is>
          <t>Issuer currently credits 800 Reward Points worth ₹800 each month as an interim benefit in lieu of 2 PVR tickets.</t>
        </is>
      </c>
      <c r="F126" s="4" t="inlineStr">
        <is>
          <t>1 Reward Point = 1 EasyPoint for eligible catalogue conversion; 1 Reward Point can convert to 2 air miles under the published feature page.</t>
        </is>
      </c>
      <c r="G126" s="4" t="inlineStr"/>
      <c r="H126" s="4" t="inlineStr"/>
      <c r="I126" s="4" t="inlineStr"/>
      <c r="J126" s="4" t="inlineStr"/>
      <c r="K126" s="4" t="inlineStr">
        <is>
          <t>Nil</t>
        </is>
      </c>
      <c r="L126" s="4" t="inlineStr">
        <is>
          <t>Nil</t>
        </is>
      </c>
      <c r="M126" s="4" t="inlineStr"/>
      <c r="N126" s="4" t="inlineStr"/>
      <c r="O126" s="4" t="inlineStr"/>
      <c r="P126" s="4" t="inlineStr"/>
      <c r="Q126" s="4" t="inlineStr"/>
      <c r="R126" s="4" t="inlineStr">
        <is>
          <t>Current catalogue advertises personalized design/higher-limit positioning; card-specific reward details not populated here.</t>
        </is>
      </c>
      <c r="S126" s="5" t="inlineStr">
        <is>
          <t>https://www.kotak.bank.in/en/personal-banking/cards/credit-cards.html</t>
        </is>
      </c>
      <c r="T126" s="2" t="inlineStr">
        <is>
          <t>Current official catalogue accessed 2026-09-09</t>
        </is>
      </c>
      <c r="U126" s="5" t="inlineStr">
        <is>
          <t>https://www.kotak.bank.in/en/personal-banking/cards/credit-cards/wealth-management-infinite-credit-card/features.html</t>
        </is>
      </c>
      <c r="V126" s="2" t="inlineStr">
        <is>
          <t>Official issuer</t>
        </is>
      </c>
      <c r="W126" s="2" t="inlineStr">
        <is>
          <t>2026-09-09</t>
        </is>
      </c>
      <c r="X126" s="2" t="inlineStr">
        <is>
          <t>Live issuer page confirms monthly 800-point benefit but does not clearly state a general base earn rate.</t>
        </is>
      </c>
    </row>
    <row r="127" ht="34" customHeight="1">
      <c r="A127" s="2" t="inlineStr">
        <is>
          <t>IDFC FIRST Bank</t>
        </is>
      </c>
      <c r="B127" s="3" t="inlineStr">
        <is>
          <t>Selectable</t>
        </is>
      </c>
      <c r="C127" s="4" t="inlineStr">
        <is>
          <t>FIRST Millennia Credit Card</t>
        </is>
      </c>
      <c r="D127" s="4" t="inlineStr"/>
      <c r="E127" s="4" t="inlineStr">
        <is>
          <t>Up to 10X never-expiring reward points under current programme.</t>
        </is>
      </c>
      <c r="F127" s="4" t="inlineStr"/>
      <c r="G127" s="4" t="inlineStr"/>
      <c r="H127" s="4" t="inlineStr"/>
      <c r="I127" s="4" t="inlineStr"/>
      <c r="J127" s="4" t="inlineStr"/>
      <c r="K127" s="4" t="inlineStr">
        <is>
          <t>Nil</t>
        </is>
      </c>
      <c r="L127" s="4" t="inlineStr">
        <is>
          <t>Nil</t>
        </is>
      </c>
      <c r="M127" s="4" t="inlineStr"/>
      <c r="N127" s="4" t="inlineStr">
        <is>
          <t>3.50% (current MITC default for cards not listed as exceptions)</t>
        </is>
      </c>
      <c r="O127" s="4" t="inlineStr">
        <is>
          <t>4 railway lounge visits/quarter under current programme; airport-lounge qualification rules may apply to other variants.</t>
        </is>
      </c>
      <c r="P127" s="4" t="inlineStr"/>
      <c r="Q127" s="4" t="inlineStr">
        <is>
          <t>1% fuel surcharge waiver on eligible ₹200–₹5,000 fuel transactions; card-specific statement-cycle cap applies in current MITC.</t>
        </is>
      </c>
      <c r="R127" s="4" t="inlineStr">
        <is>
          <t>Published welcome benefits valued up to ₹1,500 under current programme.</t>
        </is>
      </c>
      <c r="S127" s="5" t="inlineStr">
        <is>
          <t>https://www.idfcfirstbank.com/credit-card
https://www.idfcfirstbank.com/credit-card/fees-and-charges</t>
        </is>
      </c>
      <c r="T127" s="2" t="inlineStr">
        <is>
          <t>Current IDFC FIRST MITC/catalogue accessed 2026-09-09</t>
        </is>
      </c>
    </row>
    <row r="128" ht="34" customHeight="1">
      <c r="A128" s="2" t="inlineStr">
        <is>
          <t>IDFC FIRST Bank</t>
        </is>
      </c>
      <c r="B128" s="3" t="inlineStr">
        <is>
          <t>Selectable</t>
        </is>
      </c>
      <c r="C128" s="4" t="inlineStr">
        <is>
          <t>FIRST WOW! Credit Card</t>
        </is>
      </c>
      <c r="D128" s="4" t="inlineStr">
        <is>
          <t>Issuer describes up to 4X Reward Points on eligible spends; an exact current category-by-category earn table was not recovered in the second pass.</t>
        </is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>
        <is>
          <t>Nil</t>
        </is>
      </c>
      <c r="L128" s="4" t="inlineStr">
        <is>
          <t>Nil</t>
        </is>
      </c>
      <c r="M128" s="4" t="inlineStr"/>
      <c r="N128" s="4" t="inlineStr">
        <is>
          <t>0%</t>
        </is>
      </c>
      <c r="O128" s="4" t="inlineStr"/>
      <c r="P128" s="4" t="inlineStr"/>
      <c r="Q128" s="4" t="inlineStr">
        <is>
          <t>1% fuel surcharge waiver on eligible ₹200–₹5,000 fuel transactions; card-specific statement-cycle cap applies in current MITC.</t>
        </is>
      </c>
      <c r="R128" s="4" t="inlineStr"/>
      <c r="S128" s="5" t="inlineStr">
        <is>
          <t>https://www.idfcfirstbank.com/credit-card
https://www.idfcfirstbank.com/credit-card/fees-and-charges</t>
        </is>
      </c>
      <c r="T128" s="2" t="inlineStr">
        <is>
          <t>Current IDFC FIRST MITC/catalogue accessed 2026-09-09</t>
        </is>
      </c>
      <c r="U128" s="5" t="inlineStr">
        <is>
          <t>https://www.idfcfirstbank.com/credit-card</t>
        </is>
      </c>
      <c r="V128" s="2" t="inlineStr">
        <is>
          <t>Official issuer</t>
        </is>
      </c>
      <c r="W128" s="2" t="inlineStr">
        <is>
          <t>2026-09-09</t>
        </is>
      </c>
      <c r="X128" s="2" t="inlineStr">
        <is>
          <t>Numeric base denominator not stated on the surfaced current issuer material; retained as issuer wording rather than inferred.</t>
        </is>
      </c>
    </row>
    <row r="129" ht="34" customHeight="1">
      <c r="A129" s="2" t="inlineStr">
        <is>
          <t>IDFC FIRST Bank</t>
        </is>
      </c>
      <c r="B129" s="3" t="inlineStr">
        <is>
          <t>Selectable</t>
        </is>
      </c>
      <c r="C129" s="4" t="inlineStr">
        <is>
          <t>FIRST Wealth Credit Card</t>
        </is>
      </c>
      <c r="D129" s="4" t="inlineStr"/>
      <c r="E129" s="4" t="inlineStr">
        <is>
          <t>Up to 10X never-expiring reward points under current programme.</t>
        </is>
      </c>
      <c r="F129" s="4" t="inlineStr"/>
      <c r="G129" s="4" t="inlineStr"/>
      <c r="H129" s="4" t="inlineStr"/>
      <c r="I129" s="4" t="inlineStr"/>
      <c r="J129" s="4" t="inlineStr"/>
      <c r="K129" s="4" t="inlineStr">
        <is>
          <t>Nil</t>
        </is>
      </c>
      <c r="L129" s="4" t="inlineStr">
        <is>
          <t>Nil</t>
        </is>
      </c>
      <c r="M129" s="4" t="inlineStr"/>
      <c r="N129" s="4" t="inlineStr">
        <is>
          <t>1.50%</t>
        </is>
      </c>
      <c r="O129" s="4" t="inlineStr">
        <is>
          <t>2 domestic airport lounge/spa + 2 international lounge visits/quarter + 4 railway lounge visits/quarter, subject to current conditions.</t>
        </is>
      </c>
      <c r="P129" s="4" t="inlineStr"/>
      <c r="Q129" s="4" t="inlineStr">
        <is>
          <t>1% fuel surcharge waiver on eligible ₹200–₹5,000 fuel transactions; card-specific statement-cycle cap applies in current MITC.</t>
        </is>
      </c>
      <c r="R129" s="4" t="inlineStr">
        <is>
          <t>Published golf benefit up to 2 rounds/month under current programme.</t>
        </is>
      </c>
      <c r="S129" s="5" t="inlineStr">
        <is>
          <t>https://www.idfcfirstbank.com/credit-card
https://www.idfcfirstbank.com/credit-card/fees-and-charges</t>
        </is>
      </c>
      <c r="T129" s="2" t="inlineStr">
        <is>
          <t>Current IDFC FIRST MITC/catalogue accessed 2026-09-09</t>
        </is>
      </c>
    </row>
    <row r="130" ht="34" customHeight="1">
      <c r="A130" s="2" t="inlineStr">
        <is>
          <t>IDFC FIRST Bank</t>
        </is>
      </c>
      <c r="B130" s="3" t="inlineStr">
        <is>
          <t>Selectable</t>
        </is>
      </c>
      <c r="C130" s="4" t="inlineStr">
        <is>
          <t>IDFC FIRST Classic Credit Card</t>
        </is>
      </c>
      <c r="D130" s="4" t="inlineStr"/>
      <c r="E130" s="4" t="inlineStr">
        <is>
          <t>Up to 10X never-expiring reward points under current programme.</t>
        </is>
      </c>
      <c r="F130" s="4" t="inlineStr"/>
      <c r="G130" s="4" t="inlineStr"/>
      <c r="H130" s="4" t="inlineStr"/>
      <c r="I130" s="4" t="inlineStr"/>
      <c r="J130" s="4" t="inlineStr"/>
      <c r="K130" s="4" t="inlineStr">
        <is>
          <t>Nil</t>
        </is>
      </c>
      <c r="L130" s="4" t="inlineStr">
        <is>
          <t>Nil</t>
        </is>
      </c>
      <c r="M130" s="4" t="inlineStr"/>
      <c r="N130" s="4" t="inlineStr">
        <is>
          <t>3.50% (current MITC default for cards not listed as exceptions)</t>
        </is>
      </c>
      <c r="O130" s="4" t="inlineStr">
        <is>
          <t>4 railway lounge visits/quarter under current programme.</t>
        </is>
      </c>
      <c r="P130" s="4" t="inlineStr"/>
      <c r="Q130" s="4" t="inlineStr">
        <is>
          <t>1% fuel surcharge waiver on eligible ₹200–₹5,000 fuel transactions; card-specific statement-cycle cap applies in current MITC.</t>
        </is>
      </c>
      <c r="R130" s="4" t="inlineStr"/>
      <c r="S130" s="5" t="inlineStr">
        <is>
          <t>https://www.idfcfirstbank.com/credit-card
https://www.idfcfirstbank.com/credit-card/fees-and-charges</t>
        </is>
      </c>
      <c r="T130" s="2" t="inlineStr">
        <is>
          <t>Current IDFC FIRST MITC/catalogue accessed 2026-09-09</t>
        </is>
      </c>
    </row>
    <row r="131" ht="34" customHeight="1">
      <c r="A131" s="2" t="inlineStr">
        <is>
          <t>IDFC FIRST Bank</t>
        </is>
      </c>
      <c r="B131" s="3" t="inlineStr">
        <is>
          <t>Selectable</t>
        </is>
      </c>
      <c r="C131" s="4" t="inlineStr">
        <is>
          <t>IDFC FIRST Select Credit Card</t>
        </is>
      </c>
      <c r="D131" s="4" t="inlineStr"/>
      <c r="E131" s="4" t="inlineStr">
        <is>
          <t>Up to 10X never-expiring reward points under current programme.</t>
        </is>
      </c>
      <c r="F131" s="4" t="inlineStr"/>
      <c r="G131" s="4" t="inlineStr"/>
      <c r="H131" s="4" t="inlineStr"/>
      <c r="I131" s="4" t="inlineStr"/>
      <c r="J131" s="4" t="inlineStr"/>
      <c r="K131" s="4" t="inlineStr">
        <is>
          <t>Nil</t>
        </is>
      </c>
      <c r="L131" s="4" t="inlineStr">
        <is>
          <t>Nil</t>
        </is>
      </c>
      <c r="M131" s="4" t="inlineStr"/>
      <c r="N131" s="4" t="inlineStr">
        <is>
          <t>1.99%</t>
        </is>
      </c>
      <c r="O131" s="4" t="inlineStr">
        <is>
          <t>2 domestic airport lounge visits/quarter + 4 railway lounge visits/quarter, subject to current spend qualification.</t>
        </is>
      </c>
      <c r="P131" s="4" t="inlineStr"/>
      <c r="Q131" s="4" t="inlineStr">
        <is>
          <t>1% fuel surcharge waiver on eligible ₹200–₹5,000 fuel transactions; card-specific statement-cycle cap applies in current MITC.</t>
        </is>
      </c>
      <c r="R131" s="4" t="inlineStr"/>
      <c r="S131" s="5" t="inlineStr">
        <is>
          <t>https://www.idfcfirstbank.com/credit-card
https://www.idfcfirstbank.com/credit-card/fees-and-charges</t>
        </is>
      </c>
      <c r="T131" s="2" t="inlineStr">
        <is>
          <t>Current IDFC FIRST MITC/catalogue accessed 2026-09-09</t>
        </is>
      </c>
    </row>
    <row r="132" ht="34" customHeight="1">
      <c r="A132" s="2" t="inlineStr">
        <is>
          <t>IDFC FIRST Bank</t>
        </is>
      </c>
      <c r="B132" s="3" t="inlineStr">
        <is>
          <t>Selectable</t>
        </is>
      </c>
      <c r="C132" s="4" t="inlineStr">
        <is>
          <t>IDFC FIRST Digital RuPay Credit Card</t>
        </is>
      </c>
      <c r="D132" s="4" t="inlineStr">
        <is>
          <t>1X Reward Points on eligible UPI transactions up to ₹2,000.</t>
        </is>
      </c>
      <c r="E132" s="4" t="inlineStr">
        <is>
          <t>3X Reward Points on eligible UPI transactions above ₹2,000; welcome offer includes 100% cashback up to ₹200 on the first four qualifying transactions, subject to terms.</t>
        </is>
      </c>
      <c r="F132" s="4" t="inlineStr">
        <is>
          <t>Reward Points can be redeemed as cash/value under the issuer rewards programme.</t>
        </is>
      </c>
      <c r="G132" s="4" t="inlineStr"/>
      <c r="H132" s="4" t="inlineStr"/>
      <c r="I132" s="4" t="inlineStr"/>
      <c r="J132" s="4" t="inlineStr"/>
      <c r="K132" s="4" t="inlineStr">
        <is>
          <t>₹199</t>
        </is>
      </c>
      <c r="L132" s="4" t="inlineStr">
        <is>
          <t>₹199</t>
        </is>
      </c>
      <c r="M132" s="4" t="inlineStr"/>
      <c r="N132" s="4" t="inlineStr">
        <is>
          <t>As per primary card</t>
        </is>
      </c>
      <c r="O132" s="4" t="inlineStr"/>
      <c r="P132" s="4" t="inlineStr"/>
      <c r="Q132" s="4" t="inlineStr"/>
      <c r="R132" s="4" t="inlineStr"/>
      <c r="S132" s="5" t="inlineStr">
        <is>
          <t>https://www.idfcfirstbank.com/credit-card
https://www.idfcfirstbank.com/credit-card/fees-and-charges</t>
        </is>
      </c>
      <c r="T132" s="2" t="inlineStr">
        <is>
          <t>Current IDFC FIRST MITC/catalogue accessed 2026-09-09</t>
        </is>
      </c>
      <c r="U132" s="5" t="inlineStr">
        <is>
          <t>https://www.idfcfirstbank.com/content/dam/idfcfirstbank/pdf/news-media/press-release/IDFCFIRSTBank-Revolutionizes-Transactions-with-the-Launch.pdf</t>
        </is>
      </c>
      <c r="V132" s="2" t="inlineStr">
        <is>
          <t>Official issuer</t>
        </is>
      </c>
      <c r="W132" s="2" t="inlineStr">
        <is>
          <t>2026-09-09</t>
        </is>
      </c>
      <c r="X132" s="2" t="inlineStr">
        <is>
          <t>Second-pass reward/cashback research; populated only from located source material.</t>
        </is>
      </c>
    </row>
    <row r="133" ht="34" customHeight="1">
      <c r="A133" s="2" t="inlineStr">
        <is>
          <t>IDFC FIRST Bank</t>
        </is>
      </c>
      <c r="B133" s="3" t="inlineStr">
        <is>
          <t>Selectable</t>
        </is>
      </c>
      <c r="C133" s="4" t="inlineStr">
        <is>
          <t>IDFC FIRST EA₹N Credit Card</t>
        </is>
      </c>
      <c r="D133" s="4" t="inlineStr">
        <is>
          <t>Up to 1% cashback on eligible UPI spends.</t>
        </is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>
        <is>
          <t>₹499</t>
        </is>
      </c>
      <c r="L133" s="4" t="inlineStr">
        <is>
          <t>₹499</t>
        </is>
      </c>
      <c r="M133" s="4" t="inlineStr"/>
      <c r="N133" s="4" t="inlineStr">
        <is>
          <t>3.50% (current MITC default for cards not listed as exceptions)</t>
        </is>
      </c>
      <c r="O133" s="4" t="inlineStr"/>
      <c r="P133" s="4" t="inlineStr"/>
      <c r="Q133" s="4" t="inlineStr"/>
      <c r="R133" s="4" t="inlineStr">
        <is>
          <t>FD-backed card; current welcome cashback up to ₹200 under programme terms.</t>
        </is>
      </c>
      <c r="S133" s="5" t="inlineStr">
        <is>
          <t>https://www.idfcfirstbank.com/credit-card
https://www.idfcfirstbank.com/credit-card/fees-and-charges</t>
        </is>
      </c>
      <c r="T133" s="2" t="inlineStr">
        <is>
          <t>Current IDFC FIRST MITC/catalogue accessed 2026-09-09</t>
        </is>
      </c>
    </row>
    <row r="134" ht="34" customHeight="1">
      <c r="A134" s="2" t="inlineStr">
        <is>
          <t>IDFC FIRST Bank</t>
        </is>
      </c>
      <c r="B134" s="3" t="inlineStr">
        <is>
          <t>Selectable</t>
        </is>
      </c>
      <c r="C134" s="4" t="inlineStr">
        <is>
          <t>IDFC FIRST Power Credit Card</t>
        </is>
      </c>
      <c r="D134" s="4" t="inlineStr"/>
      <c r="E134" s="4" t="inlineStr">
        <is>
          <t>Current value proposition advertises up to 5% savings on eligible fuel and 2.5% on eligible grocery/utility spends.</t>
        </is>
      </c>
      <c r="F134" s="4" t="inlineStr"/>
      <c r="G134" s="4" t="inlineStr"/>
      <c r="H134" s="4" t="inlineStr"/>
      <c r="I134" s="4" t="inlineStr"/>
      <c r="J134" s="4" t="inlineStr"/>
      <c r="K134" s="4" t="inlineStr">
        <is>
          <t>₹199</t>
        </is>
      </c>
      <c r="L134" s="4" t="inlineStr">
        <is>
          <t>₹199</t>
        </is>
      </c>
      <c r="M134" s="4" t="inlineStr"/>
      <c r="N134" s="4" t="inlineStr">
        <is>
          <t>3.50% (current MITC default for cards not listed as exceptions)</t>
        </is>
      </c>
      <c r="O134" s="4" t="inlineStr"/>
      <c r="P134" s="4" t="inlineStr"/>
      <c r="Q134" s="4" t="inlineStr"/>
      <c r="R134" s="4" t="inlineStr"/>
      <c r="S134" s="5" t="inlineStr">
        <is>
          <t>https://www.idfcfirstbank.com/credit-card
https://www.idfcfirstbank.com/credit-card/fees-and-charges</t>
        </is>
      </c>
      <c r="T134" s="2" t="inlineStr">
        <is>
          <t>Current IDFC FIRST MITC/catalogue accessed 2026-09-09</t>
        </is>
      </c>
    </row>
    <row r="135" ht="34" customHeight="1">
      <c r="A135" s="2" t="inlineStr">
        <is>
          <t>IDFC FIRST Bank</t>
        </is>
      </c>
      <c r="B135" s="3" t="inlineStr">
        <is>
          <t>Selectable</t>
        </is>
      </c>
      <c r="C135" s="4" t="inlineStr">
        <is>
          <t>IDFC FIRST Power+ Credit Card</t>
        </is>
      </c>
      <c r="D135" s="4" t="inlineStr"/>
      <c r="E135" s="4" t="inlineStr">
        <is>
          <t>Current value proposition advertises up to 6.5% savings on eligible fuel and 5% on eligible grocery/utility spends.</t>
        </is>
      </c>
      <c r="F135" s="4" t="inlineStr"/>
      <c r="G135" s="4" t="inlineStr"/>
      <c r="H135" s="4" t="inlineStr"/>
      <c r="I135" s="4" t="inlineStr"/>
      <c r="J135" s="4" t="inlineStr"/>
      <c r="K135" s="4" t="inlineStr">
        <is>
          <t>₹499</t>
        </is>
      </c>
      <c r="L135" s="4" t="inlineStr">
        <is>
          <t>₹499</t>
        </is>
      </c>
      <c r="M135" s="4" t="inlineStr"/>
      <c r="N135" s="4" t="inlineStr">
        <is>
          <t>3.50% (current MITC default for cards not listed as exceptions)</t>
        </is>
      </c>
      <c r="O135" s="4" t="inlineStr">
        <is>
          <t>1 domestic airport lounge visit/quarter under current conditions.</t>
        </is>
      </c>
      <c r="P135" s="4" t="inlineStr"/>
      <c r="Q135" s="4" t="inlineStr"/>
      <c r="R135" s="4" t="inlineStr"/>
      <c r="S135" s="5" t="inlineStr">
        <is>
          <t>https://www.idfcfirstbank.com/credit-card
https://www.idfcfirstbank.com/credit-card/fees-and-charges</t>
        </is>
      </c>
      <c r="T135" s="2" t="inlineStr">
        <is>
          <t>Current IDFC FIRST MITC/catalogue accessed 2026-09-09</t>
        </is>
      </c>
    </row>
    <row r="136" ht="34" customHeight="1">
      <c r="A136" s="2" t="inlineStr">
        <is>
          <t>IDFC FIRST Bank</t>
        </is>
      </c>
      <c r="B136" s="3" t="inlineStr">
        <is>
          <t>Selectable</t>
        </is>
      </c>
      <c r="C136" s="4" t="inlineStr">
        <is>
          <t>IDFC FIRST SWYP Credit Card</t>
        </is>
      </c>
      <c r="D136" s="4" t="inlineStr">
        <is>
          <t>Spend-based monthly bonus structure rather than a simple universal base rate; UPI can earn 100 Reward Points for each qualifying ₹5,000 spend block.</t>
        </is>
      </c>
      <c r="E136" s="4" t="inlineStr">
        <is>
          <t>35 Reward Points per ₹100 on eligible hotels and 15 per ₹100 on eligible flights booked through the IDFC FIRST app/travel channel.</t>
        </is>
      </c>
      <c r="F136" s="4" t="inlineStr">
        <is>
          <t>1 Reward Point = about ₹0.25 for eligible travel redemption.</t>
        </is>
      </c>
      <c r="G136" s="4" t="inlineStr">
        <is>
          <t>Travel accelerated rewards capped at 8,000 Reward Points/month under published terms.</t>
        </is>
      </c>
      <c r="H136" s="4" t="inlineStr"/>
      <c r="I136" s="4" t="inlineStr"/>
      <c r="J136" s="4" t="inlineStr"/>
      <c r="K136" s="4" t="inlineStr">
        <is>
          <t>₹499</t>
        </is>
      </c>
      <c r="L136" s="4" t="inlineStr">
        <is>
          <t>₹499</t>
        </is>
      </c>
      <c r="M136" s="4" t="inlineStr"/>
      <c r="N136" s="4" t="inlineStr">
        <is>
          <t>3.50% (current MITC default for cards not listed as exceptions)</t>
        </is>
      </c>
      <c r="O136" s="4" t="inlineStr"/>
      <c r="P136" s="4" t="inlineStr">
        <is>
          <t>Current programme advertises welcome benefits ₹2,000+ and monthly reward opportunities; exact mechanics vary by spend/offer.</t>
        </is>
      </c>
      <c r="Q136" s="4" t="inlineStr">
        <is>
          <t>1% fuel surcharge waiver on eligible ₹200–₹5,000 fuel transactions; card-specific statement-cycle cap applies in current MITC.</t>
        </is>
      </c>
      <c r="R136" s="4" t="inlineStr">
        <is>
          <t>Partner-discount programme under current card terms.</t>
        </is>
      </c>
      <c r="S136" s="5" t="inlineStr">
        <is>
          <t>https://www.idfcfirstbank.com/credit-card
https://www.idfcfirstbank.com/credit-card/fees-and-charges</t>
        </is>
      </c>
      <c r="T136" s="2" t="inlineStr">
        <is>
          <t>Current IDFC FIRST MITC/catalogue accessed 2026-09-09</t>
        </is>
      </c>
      <c r="U136" s="5" t="inlineStr">
        <is>
          <t>https://www.idfcfirstbank.com/content/dam/idfcfirstbank/pdf/SWYP-CC-Rewards-Structure-TnC.pdf</t>
        </is>
      </c>
      <c r="V136" s="2" t="inlineStr">
        <is>
          <t>Official issuer</t>
        </is>
      </c>
      <c r="W136" s="2" t="inlineStr">
        <is>
          <t>2026-09-09</t>
        </is>
      </c>
      <c r="X136" s="2" t="inlineStr">
        <is>
          <t>Second-pass reward/cashback research; populated only from located source material.</t>
        </is>
      </c>
    </row>
    <row r="137" ht="34" customHeight="1">
      <c r="A137" s="2" t="inlineStr">
        <is>
          <t>IDFC FIRST Bank</t>
        </is>
      </c>
      <c r="B137" s="3" t="inlineStr">
        <is>
          <t>Selectable</t>
        </is>
      </c>
      <c r="C137" s="4" t="inlineStr">
        <is>
          <t>IDFC FIRST Ashva Credit Card</t>
        </is>
      </c>
      <c r="D137" s="4" t="inlineStr">
        <is>
          <t>5 Reward Points per ₹150 on eligible spends up to the monthly threshold; 10 points per ₹150 on incremental eligible spends above the threshold.</t>
        </is>
      </c>
      <c r="E137" s="4" t="inlineStr">
        <is>
          <t>50X-equivalent reward rate on eligible hotel bookings and 30X on eligible flight bookings through the specified IDFC FIRST travel channel.</t>
        </is>
      </c>
      <c r="F137" s="4" t="inlineStr">
        <is>
          <t>1 Reward Point = about ₹0.40 for eligible travel redemption and ₹0.25 for other published redemption routes.</t>
        </is>
      </c>
      <c r="G137" s="4" t="inlineStr"/>
      <c r="H137" s="4" t="inlineStr"/>
      <c r="I137" s="4" t="inlineStr"/>
      <c r="J137" s="4" t="inlineStr"/>
      <c r="K137" s="4" t="inlineStr">
        <is>
          <t>₹2,999</t>
        </is>
      </c>
      <c r="L137" s="4" t="inlineStr">
        <is>
          <t>₹2,999</t>
        </is>
      </c>
      <c r="M137" s="4" t="inlineStr"/>
      <c r="N137" s="4" t="inlineStr">
        <is>
          <t>1%</t>
        </is>
      </c>
      <c r="O137" s="4" t="inlineStr">
        <is>
          <t>International lounge benefit published for current Ashva programme; current comparison states 2 international visits/quarter.</t>
        </is>
      </c>
      <c r="P137" s="4" t="inlineStr"/>
      <c r="Q137" s="4" t="inlineStr">
        <is>
          <t>1% fuel surcharge waiver on eligible ₹200–₹5,000 fuel transactions; card-specific statement-cycle cap applies in current MITC.</t>
        </is>
      </c>
      <c r="R137" s="4" t="inlineStr"/>
      <c r="S137" s="5" t="inlineStr">
        <is>
          <t>https://www.idfcfirstbank.com/credit-card
https://www.idfcfirstbank.com/credit-card/fees-and-charges</t>
        </is>
      </c>
      <c r="T137" s="2" t="inlineStr">
        <is>
          <t>Current IDFC FIRST MITC/catalogue accessed 2026-09-09</t>
        </is>
      </c>
      <c r="U137" s="5" t="inlineStr">
        <is>
          <t>https://www.idfcfirstbank.com/content/dam/idfcfirstbank/pdf/Ashva-CC-Rewards-Structure-TnC-28-05-25-copy.pdf</t>
        </is>
      </c>
      <c r="V137" s="2" t="inlineStr">
        <is>
          <t>Official issuer</t>
        </is>
      </c>
      <c r="W137" s="2" t="inlineStr">
        <is>
          <t>2026-09-09</t>
        </is>
      </c>
      <c r="X137" s="2" t="inlineStr">
        <is>
          <t>Second-pass reward/cashback research; populated only from located source material.</t>
        </is>
      </c>
    </row>
    <row r="138" ht="34" customHeight="1">
      <c r="A138" s="2" t="inlineStr">
        <is>
          <t>IDFC FIRST Bank</t>
        </is>
      </c>
      <c r="B138" s="3" t="inlineStr">
        <is>
          <t>Selectable</t>
        </is>
      </c>
      <c r="C138" s="4" t="inlineStr">
        <is>
          <t>IDFC FIRST Mayura Credit Card</t>
        </is>
      </c>
      <c r="D138" s="4" t="inlineStr">
        <is>
          <t>5 Reward Points per ₹150 on eligible spends up to the monthly threshold; 10 points per ₹150 on incremental eligible spends above it.</t>
        </is>
      </c>
      <c r="E138" s="4" t="inlineStr">
        <is>
          <t>50X-equivalent rewards on eligible hotel bookings and 30X on eligible flight bookings through the specified travel channel.</t>
        </is>
      </c>
      <c r="F138" s="4" t="inlineStr">
        <is>
          <t>1 Reward Point = about ₹0.50 for eligible travel redemption and ₹0.25 for other published redemption routes.</t>
        </is>
      </c>
      <c r="G138" s="4" t="inlineStr">
        <is>
          <t>Bonus/accelerated travel rewards capped at the published monthly limit (25,000 points in the cited terms).</t>
        </is>
      </c>
      <c r="H138" s="4" t="inlineStr"/>
      <c r="I138" s="4" t="inlineStr"/>
      <c r="J138" s="4" t="inlineStr"/>
      <c r="K138" s="4" t="inlineStr">
        <is>
          <t>₹5,999</t>
        </is>
      </c>
      <c r="L138" s="4" t="inlineStr">
        <is>
          <t>₹5,999</t>
        </is>
      </c>
      <c r="M138" s="4" t="inlineStr"/>
      <c r="N138" s="4" t="inlineStr">
        <is>
          <t>0%</t>
        </is>
      </c>
      <c r="O138" s="4" t="inlineStr">
        <is>
          <t>Current comparison states 4 international lounge visits/quarter.</t>
        </is>
      </c>
      <c r="P138" s="4" t="inlineStr"/>
      <c r="Q138" s="4" t="inlineStr">
        <is>
          <t>1% fuel surcharge waiver on eligible ₹200–₹5,000 fuel transactions; card-specific statement-cycle cap applies in current MITC.</t>
        </is>
      </c>
      <c r="R138" s="4" t="inlineStr"/>
      <c r="S138" s="5" t="inlineStr">
        <is>
          <t>https://www.idfcfirstbank.com/credit-card
https://www.idfcfirstbank.com/credit-card/fees-and-charges</t>
        </is>
      </c>
      <c r="T138" s="2" t="inlineStr">
        <is>
          <t>Current IDFC FIRST MITC/catalogue accessed 2026-09-09</t>
        </is>
      </c>
      <c r="U138" s="5" t="inlineStr">
        <is>
          <t>https://www.idfcfirstbank.com/content/dam/idfcfirstbank/pdf/Mayura-CC-Rewards-Structure-TnC-28-05-25.pdf</t>
        </is>
      </c>
      <c r="V138" s="2" t="inlineStr">
        <is>
          <t>Official issuer</t>
        </is>
      </c>
      <c r="W138" s="2" t="inlineStr">
        <is>
          <t>2026-09-09</t>
        </is>
      </c>
      <c r="X138" s="2" t="inlineStr">
        <is>
          <t>Second-pass reward/cashback research; populated only from located source material.</t>
        </is>
      </c>
    </row>
    <row r="139" ht="34" customHeight="1">
      <c r="A139" s="2" t="inlineStr">
        <is>
          <t>IDFC FIRST Bank</t>
        </is>
      </c>
      <c r="B139" s="3" t="inlineStr">
        <is>
          <t>Selectable</t>
        </is>
      </c>
      <c r="C139" s="4" t="inlineStr">
        <is>
          <t>IndiGo IDFC FIRST Credit Card</t>
        </is>
      </c>
      <c r="D139" s="4" t="inlineStr">
        <is>
          <t>Everyday base earn rate was not clearly disclosed in the surfaced issuer launch material.</t>
        </is>
      </c>
      <c r="E139" s="4" t="inlineStr">
        <is>
          <t>Up to 22 IndiGo BluChips per ₹100 on eligible IndiGo bookings, with additional milestone BluChips under the co-brand programme.</t>
        </is>
      </c>
      <c r="F139" s="4" t="inlineStr"/>
      <c r="G139" s="4" t="inlineStr"/>
      <c r="H139" s="4" t="inlineStr"/>
      <c r="I139" s="4" t="inlineStr"/>
      <c r="J139" s="4" t="inlineStr"/>
      <c r="K139" s="4" t="inlineStr">
        <is>
          <t>₹4,999</t>
        </is>
      </c>
      <c r="L139" s="4" t="inlineStr">
        <is>
          <t>₹4,999</t>
        </is>
      </c>
      <c r="M139" s="4" t="inlineStr"/>
      <c r="N139" s="4" t="inlineStr">
        <is>
          <t>1.49%</t>
        </is>
      </c>
      <c r="O139" s="4" t="inlineStr"/>
      <c r="P139" s="4" t="inlineStr"/>
      <c r="Q139" s="4" t="inlineStr"/>
      <c r="R139" s="4" t="inlineStr"/>
      <c r="S139" s="5" t="inlineStr">
        <is>
          <t>https://www.idfcfirstbank.com/credit-card
https://www.idfcfirstbank.com/credit-card/fees-and-charges</t>
        </is>
      </c>
      <c r="T139" s="2" t="inlineStr">
        <is>
          <t>Current IDFC FIRST MITC/catalogue accessed 2026-09-09</t>
        </is>
      </c>
      <c r="U139" s="5" t="inlineStr">
        <is>
          <t>https://www.idfcfirstbank.com/content/dam/idfcfirstbank/pdf/news-media/press-release/Press-Release-IDFC-FIRST-18-Aug-2025.pdf</t>
        </is>
      </c>
      <c r="V139" s="2" t="inlineStr">
        <is>
          <t>Official issuer</t>
        </is>
      </c>
      <c r="W139" s="2" t="inlineStr">
        <is>
          <t>2026-09-09</t>
        </is>
      </c>
      <c r="X139" s="2" t="inlineStr">
        <is>
          <t>Issuer press release supports the accelerated IndiGo rate; general-spend base rate left descriptive rather than inferred.</t>
        </is>
      </c>
    </row>
    <row r="140" ht="34" customHeight="1">
      <c r="A140" s="2" t="inlineStr">
        <is>
          <t>IDFC FIRST Bank</t>
        </is>
      </c>
      <c r="B140" s="3" t="inlineStr">
        <is>
          <t>Selectable</t>
        </is>
      </c>
      <c r="C140" s="4" t="inlineStr">
        <is>
          <t>LIC Classic IDFC FIRST Credit Card</t>
        </is>
      </c>
      <c r="D140" s="4" t="inlineStr"/>
      <c r="E140" s="4" t="inlineStr">
        <is>
          <t>Up to 10X rewards on eligible LIC premium payments; up to 5X on other eligible categories under current programme.</t>
        </is>
      </c>
      <c r="F140" s="4" t="inlineStr"/>
      <c r="G140" s="4" t="inlineStr"/>
      <c r="H140" s="4" t="inlineStr"/>
      <c r="I140" s="4" t="inlineStr"/>
      <c r="J140" s="4" t="inlineStr"/>
      <c r="K140" s="4" t="inlineStr">
        <is>
          <t>Nil</t>
        </is>
      </c>
      <c r="L140" s="4" t="inlineStr">
        <is>
          <t>Nil</t>
        </is>
      </c>
      <c r="M140" s="4" t="inlineStr"/>
      <c r="N140" s="4" t="inlineStr">
        <is>
          <t>3.50% (current MITC default for cards not listed as exceptions)</t>
        </is>
      </c>
      <c r="O140" s="4" t="inlineStr"/>
      <c r="P140" s="4" t="inlineStr"/>
      <c r="Q140" s="4" t="inlineStr">
        <is>
          <t>1% fuel surcharge waiver on eligible ₹200–₹5,000 fuel transactions; card-specific statement-cycle cap applies in current MITC.</t>
        </is>
      </c>
      <c r="R140" s="4" t="inlineStr"/>
      <c r="S140" s="5" t="inlineStr">
        <is>
          <t>https://www.idfcfirstbank.com/credit-card
https://www.idfcfirstbank.com/credit-card/fees-and-charges</t>
        </is>
      </c>
      <c r="T140" s="2" t="inlineStr">
        <is>
          <t>Current IDFC FIRST MITC/catalogue accessed 2026-09-09</t>
        </is>
      </c>
    </row>
    <row r="141" ht="34" customHeight="1">
      <c r="A141" s="2" t="inlineStr">
        <is>
          <t>IDFC FIRST Bank</t>
        </is>
      </c>
      <c r="B141" s="3" t="inlineStr">
        <is>
          <t>Selectable</t>
        </is>
      </c>
      <c r="C141" s="4" t="inlineStr">
        <is>
          <t>LIC Select IDFC FIRST Credit Card</t>
        </is>
      </c>
      <c r="D141" s="4" t="inlineStr"/>
      <c r="E141" s="4" t="inlineStr">
        <is>
          <t>Up to 10X rewards on eligible LIC premium payments; up to 5X on other eligible categories under current programme.</t>
        </is>
      </c>
      <c r="F141" s="4" t="inlineStr"/>
      <c r="G141" s="4" t="inlineStr"/>
      <c r="H141" s="4" t="inlineStr"/>
      <c r="I141" s="4" t="inlineStr"/>
      <c r="J141" s="4" t="inlineStr"/>
      <c r="K141" s="4" t="inlineStr">
        <is>
          <t>Nil</t>
        </is>
      </c>
      <c r="L141" s="4" t="inlineStr">
        <is>
          <t>Nil</t>
        </is>
      </c>
      <c r="M141" s="4" t="inlineStr"/>
      <c r="N141" s="4" t="inlineStr">
        <is>
          <t>3.50% (current MITC default for cards not listed as exceptions)</t>
        </is>
      </c>
      <c r="O141" s="4" t="inlineStr"/>
      <c r="P141" s="4" t="inlineStr"/>
      <c r="Q141" s="4" t="inlineStr">
        <is>
          <t>1% fuel surcharge waiver on eligible ₹200–₹5,000 fuel transactions; card-specific statement-cycle cap applies in current MITC.</t>
        </is>
      </c>
      <c r="R141" s="4" t="inlineStr"/>
      <c r="S141" s="5" t="inlineStr">
        <is>
          <t>https://www.idfcfirstbank.com/credit-card
https://www.idfcfirstbank.com/credit-card/fees-and-charges</t>
        </is>
      </c>
      <c r="T141" s="2" t="inlineStr">
        <is>
          <t>Current IDFC FIRST MITC/catalogue accessed 2026-09-09</t>
        </is>
      </c>
    </row>
    <row r="142" ht="34" customHeight="1">
      <c r="A142" s="2" t="inlineStr">
        <is>
          <t>IDFC FIRST Bank</t>
        </is>
      </c>
      <c r="B142" s="3" t="inlineStr">
        <is>
          <t>Selectable</t>
        </is>
      </c>
      <c r="C142" s="4" t="inlineStr">
        <is>
          <t>IDFC FIRST Private Credit Card</t>
        </is>
      </c>
      <c r="D142" s="4" t="inlineStr">
        <is>
          <t>10 Reward Points per ₹150 on eligible spends; reduced earn applies to selected categories such as rent/education/insurance and UPI.</t>
        </is>
      </c>
      <c r="E142" s="4" t="inlineStr">
        <is>
          <t>Issuer travel programme offers materially higher reward earn on eligible hotel and flight bookings.</t>
        </is>
      </c>
      <c r="F142" s="4" t="inlineStr">
        <is>
          <t>1 Reward Point = up to ₹1 on eligible travel redemption and about ₹0.25 on other published redemption routes.</t>
        </is>
      </c>
      <c r="G142" s="4" t="inlineStr"/>
      <c r="H142" s="4" t="inlineStr"/>
      <c r="I142" s="4" t="inlineStr"/>
      <c r="J142" s="4" t="inlineStr"/>
      <c r="K142" s="4" t="inlineStr">
        <is>
          <t>₹50,000</t>
        </is>
      </c>
      <c r="L142" s="4" t="inlineStr">
        <is>
          <t>₹50,000</t>
        </is>
      </c>
      <c r="M142" s="4" t="inlineStr"/>
      <c r="N142" s="4" t="inlineStr">
        <is>
          <t>0%</t>
        </is>
      </c>
      <c r="O142" s="4" t="inlineStr">
        <is>
          <t>Unlimited domestic and international lounge access under current programme.</t>
        </is>
      </c>
      <c r="P142" s="4" t="inlineStr"/>
      <c r="Q142" s="4" t="inlineStr"/>
      <c r="R142" s="4" t="inlineStr">
        <is>
          <t>Unlimited golf and premium/private-card benefits under current programme.</t>
        </is>
      </c>
      <c r="S142" s="5" t="inlineStr">
        <is>
          <t>https://www.idfcfirstbank.com/credit-card
https://www.idfcfirstbank.com/credit-card/fees-and-charges</t>
        </is>
      </c>
      <c r="T142" s="2" t="inlineStr">
        <is>
          <t>Current IDFC FIRST MITC/catalogue accessed 2026-09-09</t>
        </is>
      </c>
      <c r="U142" s="5" t="inlineStr">
        <is>
          <t>https://www.idfcfirstbank.com/content/dam/idfcfirstbank/pdf/FIRST-Private-Credit-Card-Reward-Points-Terms-and-Conditions.pdf</t>
        </is>
      </c>
      <c r="V142" s="2" t="inlineStr">
        <is>
          <t>Official issuer</t>
        </is>
      </c>
      <c r="W142" s="2" t="inlineStr">
        <is>
          <t>2026-09-09</t>
        </is>
      </c>
      <c r="X142" s="2" t="inlineStr">
        <is>
          <t>Second-pass reward/cashback research; populated only from located source material.</t>
        </is>
      </c>
    </row>
    <row r="143" ht="34" customHeight="1">
      <c r="A143" s="2" t="inlineStr">
        <is>
          <t>IDFC FIRST Bank</t>
        </is>
      </c>
      <c r="B143" s="6" t="inlineStr">
        <is>
          <t>Discontinued</t>
        </is>
      </c>
      <c r="C143" s="4" t="inlineStr">
        <is>
          <t>Club Vistara IDFC FIRST Bank Credit Card</t>
        </is>
      </c>
      <c r="D143" s="4" t="inlineStr">
        <is>
          <t>6 Maharaja/Club Vistara Points per ₹200 on eligible spends up to ₹1 lakh per statement cycle; 4 per ₹200 above that threshold.</t>
        </is>
      </c>
      <c r="E143" s="4" t="inlineStr">
        <is>
          <t>10 points per ₹200 on eligible dining spends on the cardholder birthday; selected categories earn reduced points.</t>
        </is>
      </c>
      <c r="F143" s="4" t="inlineStr"/>
      <c r="G143" s="4" t="inlineStr"/>
      <c r="H143" s="4" t="inlineStr"/>
      <c r="I143" s="4" t="inlineStr"/>
      <c r="J143" s="4" t="inlineStr"/>
      <c r="K143" s="4" t="inlineStr">
        <is>
          <t>₹4,999</t>
        </is>
      </c>
      <c r="L143" s="4" t="inlineStr">
        <is>
          <t>₹4,999</t>
        </is>
      </c>
      <c r="M143" s="4" t="inlineStr"/>
      <c r="N143" s="4" t="inlineStr">
        <is>
          <t>2.99%</t>
        </is>
      </c>
      <c r="O143" s="4" t="inlineStr">
        <is>
          <t>Legacy official programme material lists 2 domestic + 1 international lounge visit/quarter.</t>
        </is>
      </c>
      <c r="P143" s="4" t="inlineStr"/>
      <c r="Q143" s="4" t="inlineStr"/>
      <c r="R143" s="4" t="inlineStr"/>
      <c r="S143" s="5" t="inlineStr">
        <is>
          <t>https://www.idfcfirstbank.com/credit-card
https://www.idfcfirstbank.com/credit-card/fees-and-charges</t>
        </is>
      </c>
      <c r="T143" s="2" t="inlineStr">
        <is>
          <t>Legacy official/current issuer MITC accessed 2026-09-09; card discontinued</t>
        </is>
      </c>
      <c r="U143" s="5" t="inlineStr">
        <is>
          <t>https://www.idfcfirstbank.com/content/dam/idfcfirstbank/pdf/vistara/Terms-and-Conditions-Club-Vistara-Benefits.pdf</t>
        </is>
      </c>
      <c r="V143" s="2" t="inlineStr">
        <is>
          <t>Official issuer</t>
        </is>
      </c>
      <c r="W143" s="2" t="inlineStr">
        <is>
          <t>2026-09-09</t>
        </is>
      </c>
      <c r="X143" s="2" t="inlineStr">
        <is>
          <t>Discontinued co-brand; legacy issuer benefit terms retained.</t>
        </is>
      </c>
    </row>
    <row r="144" ht="22" customHeight="1">
      <c r="A144" s="2" t="inlineStr">
        <is>
          <t>IndusInd Bank</t>
        </is>
      </c>
      <c r="B144" s="3" t="inlineStr">
        <is>
          <t>Selectable</t>
        </is>
      </c>
      <c r="C144" s="4" t="inlineStr">
        <is>
          <t>IndusInd Bank Platinum RuPay Credit Card</t>
        </is>
      </c>
      <c r="D144" s="4" t="inlineStr">
        <is>
          <t>2 RP/₹100 on eligible UPI spends under current programme.</t>
        </is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>
        <is>
          <t>Lifetime-free positioning on current official page.</t>
        </is>
      </c>
      <c r="M144" s="4" t="inlineStr"/>
      <c r="N144" s="4" t="inlineStr"/>
      <c r="O144" s="4" t="inlineStr"/>
      <c r="P144" s="4" t="inlineStr"/>
      <c r="Q144" s="4" t="inlineStr">
        <is>
          <t>1% fuel surcharge waiver subject to current card terms.</t>
        </is>
      </c>
      <c r="R144" s="4" t="inlineStr"/>
      <c r="S144" s="5" t="inlineStr">
        <is>
          <t>https://www.indusind.bank.in/in/en/personal/cards/credit-card.html</t>
        </is>
      </c>
      <c r="T144" s="2" t="inlineStr">
        <is>
          <t>Current official catalogue accessed 2026-09-09</t>
        </is>
      </c>
    </row>
    <row r="145" ht="22" customHeight="1">
      <c r="A145" s="2" t="inlineStr">
        <is>
          <t>IndusInd Bank</t>
        </is>
      </c>
      <c r="B145" s="3" t="inlineStr">
        <is>
          <t>Selectable</t>
        </is>
      </c>
      <c r="C145" s="4" t="inlineStr">
        <is>
          <t>IndusInd Bank Legend Credit Card</t>
        </is>
      </c>
      <c r="D145" s="4" t="inlineStr">
        <is>
          <t>1 RP/₹100 on eligible weekday spends.</t>
        </is>
      </c>
      <c r="E145" s="4" t="inlineStr">
        <is>
          <t>2 RP/₹100 on eligible weekend spends.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>
        <is>
          <t>Lifetime-free positioning on current official page.</t>
        </is>
      </c>
      <c r="M145" s="4" t="inlineStr"/>
      <c r="N145" s="4" t="inlineStr">
        <is>
          <t>1.8%</t>
        </is>
      </c>
      <c r="O145" s="4" t="inlineStr"/>
      <c r="P145" s="4" t="inlineStr"/>
      <c r="Q145" s="4" t="inlineStr">
        <is>
          <t>Fuel surcharge waiver subject to current card terms.</t>
        </is>
      </c>
      <c r="R145" s="4" t="inlineStr"/>
      <c r="S145" s="5" t="inlineStr">
        <is>
          <t>https://www.indusind.bank.in/in/en/personal/cards/credit-card.html</t>
        </is>
      </c>
      <c r="T145" s="2" t="inlineStr">
        <is>
          <t>Current official catalogue accessed 2026-09-09</t>
        </is>
      </c>
    </row>
    <row r="146" ht="34" customHeight="1">
      <c r="A146" s="2" t="inlineStr">
        <is>
          <t>IndusInd Bank</t>
        </is>
      </c>
      <c r="B146" s="3" t="inlineStr">
        <is>
          <t>Selectable</t>
        </is>
      </c>
      <c r="C146" s="4" t="inlineStr">
        <is>
          <t>EazyDiner IndusInd Bank Platinum Credit Card</t>
        </is>
      </c>
      <c r="D146" s="4" t="inlineStr">
        <is>
          <t>Up to 2 Reward Points per ₹100 on eligible spends under the current issuer proposition.</t>
        </is>
      </c>
      <c r="E146" s="4" t="inlineStr">
        <is>
          <t>Additional EazyPoints/quarterly rewards apply for eligible EazyDiner usage and spend milestones.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>
        <is>
          <t>Lifetime-free positioning on current official page.</t>
        </is>
      </c>
      <c r="M146" s="4" t="inlineStr"/>
      <c r="N146" s="4" t="inlineStr"/>
      <c r="O146" s="4" t="inlineStr"/>
      <c r="P146" s="4" t="inlineStr">
        <is>
          <t>2,000 RP on ₹30,000 eligible spend in a 90-day period under current programme.</t>
        </is>
      </c>
      <c r="Q146" s="4" t="inlineStr">
        <is>
          <t>1% fuel surcharge waiver subject to current terms.</t>
        </is>
      </c>
      <c r="R146" s="4" t="inlineStr">
        <is>
          <t>Published EazyDiner Prime/restaurant discount benefits; renewal/benefit activation may require spend conditions.</t>
        </is>
      </c>
      <c r="S146" s="5" t="inlineStr">
        <is>
          <t>https://www.indusind.bank.in/in/en/personal/cards/credit-card.html</t>
        </is>
      </c>
      <c r="T146" s="2" t="inlineStr">
        <is>
          <t>Current official catalogue accessed 2026-09-09</t>
        </is>
      </c>
      <c r="U146" s="5" t="inlineStr">
        <is>
          <t>https://www.indusind.bank.in/in/en/personal/cards/credit-card.html</t>
        </is>
      </c>
      <c r="V146" s="2" t="inlineStr">
        <is>
          <t>Official issuer</t>
        </is>
      </c>
      <c r="W146" s="2" t="inlineStr">
        <is>
          <t>2026-09-09</t>
        </is>
      </c>
      <c r="X146" s="2" t="inlineStr">
        <is>
          <t>Second-pass reward/cashback research; populated only from located source material.</t>
        </is>
      </c>
    </row>
    <row r="147" ht="22" customHeight="1">
      <c r="A147" s="2" t="inlineStr">
        <is>
          <t>IndusInd Bank</t>
        </is>
      </c>
      <c r="B147" s="3" t="inlineStr">
        <is>
          <t>Selectable</t>
        </is>
      </c>
      <c r="C147" s="4" t="inlineStr">
        <is>
          <t>IndusInd Bank EazyDiner Signature Credit Card</t>
        </is>
      </c>
      <c r="D147" s="4" t="inlineStr">
        <is>
          <t>4 Reward Points per ₹100 on eligible spends outside the accelerated travel/hotel/shopping/entertainment categories; dining may be excluded under current terms.</t>
        </is>
      </c>
      <c r="E147" s="4" t="inlineStr">
        <is>
          <t>10 Reward Points per ₹100 on eligible hotel, travel, shopping and entertainment spends; 3X EazyPoints under eligible EazyDiner usage.</t>
        </is>
      </c>
      <c r="F147" s="4" t="inlineStr">
        <is>
          <t>Current issuer change notice states 1 Reward Point = about ₹0.10 for specified redemption.</t>
        </is>
      </c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5" t="inlineStr">
        <is>
          <t>https://www.indusind.bank.in/in/en/personal/cards/credit-card.html</t>
        </is>
      </c>
      <c r="T147" s="2" t="inlineStr">
        <is>
          <t>Current official catalogue accessed 2026-09-09</t>
        </is>
      </c>
      <c r="U147" s="5" t="inlineStr">
        <is>
          <t>https://www.indusind.bank.in/in/en/personal/cards/credit-card/eazydiner-credit-card.html</t>
        </is>
      </c>
      <c r="V147" s="2" t="inlineStr">
        <is>
          <t>Official issuer</t>
        </is>
      </c>
      <c r="W147" s="2" t="inlineStr">
        <is>
          <t>2026-09-09</t>
        </is>
      </c>
      <c r="X147" s="2" t="inlineStr">
        <is>
          <t>Second-pass reward/cashback research; populated only from located source material.</t>
        </is>
      </c>
    </row>
    <row r="148" ht="34" customHeight="1">
      <c r="A148" s="2" t="inlineStr">
        <is>
          <t>IndusInd Bank</t>
        </is>
      </c>
      <c r="B148" s="3" t="inlineStr">
        <is>
          <t>Selectable</t>
        </is>
      </c>
      <c r="C148" s="4" t="inlineStr">
        <is>
          <t>IndusInd Bank Platinum Aura Edge Credit Card</t>
        </is>
      </c>
      <c r="D148" s="4" t="inlineStr">
        <is>
          <t>Plan-dependent earn; typical legacy plan base is about 0.5 Savings Point per ₹100 on uncategorised spends.</t>
        </is>
      </c>
      <c r="E148" s="4" t="inlineStr">
        <is>
          <t>Selected plan categories can earn up to 4 Savings Points per ₹100 (for example departmental stores under Shop Plan), with intermediate rates for electronics/dining/travel categories.</t>
        </is>
      </c>
      <c r="F148" s="4" t="inlineStr">
        <is>
          <t>1 Savings Point historically redeemed at about ₹0.50 cash value or 0.5 airline mile, subject to plan.</t>
        </is>
      </c>
      <c r="G148" s="4" t="inlineStr"/>
      <c r="H148" s="4" t="inlineStr"/>
      <c r="I148" s="4" t="inlineStr"/>
      <c r="J148" s="4" t="inlineStr"/>
      <c r="K148" s="4" t="inlineStr"/>
      <c r="L148" s="4" t="inlineStr">
        <is>
          <t>Lifetime-free positioning on current official page.</t>
        </is>
      </c>
      <c r="M148" s="4" t="inlineStr"/>
      <c r="N148" s="4" t="inlineStr"/>
      <c r="O148" s="4" t="inlineStr"/>
      <c r="P148" s="4" t="inlineStr"/>
      <c r="Q148" s="4" t="inlineStr"/>
      <c r="R148" s="4" t="inlineStr">
        <is>
          <t>Published dining/partner-discount value proposition; exact reward plan varies by selected reward option.</t>
        </is>
      </c>
      <c r="S148" s="5" t="inlineStr">
        <is>
          <t>https://www.indusind.bank.in/in/en/personal/cards/credit-card.html</t>
        </is>
      </c>
      <c r="T148" s="2" t="inlineStr">
        <is>
          <t>Current official catalogue accessed 2026-09-09</t>
        </is>
      </c>
      <c r="U148" s="5" t="inlineStr">
        <is>
          <t>https://www.indusind.bank.in/in/en/personal/cards/credit-card.html</t>
        </is>
      </c>
      <c r="V148" s="2" t="inlineStr">
        <is>
          <t>Official issuer</t>
        </is>
      </c>
      <c r="W148" s="2" t="inlineStr">
        <is>
          <t>2026-09-09</t>
        </is>
      </c>
      <c r="X148" s="2" t="inlineStr">
        <is>
          <t>Legacy plan-based proposition; exact earn depends on the cardholder-selected Aura Edge plan.</t>
        </is>
      </c>
    </row>
    <row r="149" ht="22" customHeight="1">
      <c r="A149" s="2" t="inlineStr">
        <is>
          <t>IndusInd Bank</t>
        </is>
      </c>
      <c r="B149" s="3" t="inlineStr">
        <is>
          <t>Selectable</t>
        </is>
      </c>
      <c r="C149" s="4" t="inlineStr">
        <is>
          <t>IndusInd Bank Platinum Credit Card</t>
        </is>
      </c>
      <c r="D149" s="4" t="inlineStr">
        <is>
          <t>1.5 RP/₹150 on eligible spends.</t>
        </is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5" t="inlineStr">
        <is>
          <t>https://www.indusind.bank.in/in/en/personal/cards/credit-card.html</t>
        </is>
      </c>
      <c r="T149" s="2" t="inlineStr">
        <is>
          <t>Current official catalogue accessed 2026-09-09</t>
        </is>
      </c>
    </row>
    <row r="150" ht="22" customHeight="1">
      <c r="A150" s="2" t="inlineStr">
        <is>
          <t>IndusInd Bank</t>
        </is>
      </c>
      <c r="B150" s="3" t="inlineStr">
        <is>
          <t>Selectable</t>
        </is>
      </c>
      <c r="C150" s="4" t="inlineStr">
        <is>
          <t>IndusInd Bank Pinnacle Credit Card</t>
        </is>
      </c>
      <c r="D150" s="4" t="inlineStr"/>
      <c r="E150" s="4" t="inlineStr">
        <is>
          <t>2.5 RP/₹100 on eligible online spends under current programme.</t>
        </is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>
        <is>
          <t>Fuel surcharge waiver subject to current card terms.</t>
        </is>
      </c>
      <c r="R150" s="4" t="inlineStr">
        <is>
          <t>Golf benefits under current programme.</t>
        </is>
      </c>
      <c r="S150" s="5" t="inlineStr">
        <is>
          <t>https://www.indusind.bank.in/in/en/personal/cards/credit-card.html</t>
        </is>
      </c>
      <c r="T150" s="2" t="inlineStr">
        <is>
          <t>Current official catalogue accessed 2026-09-09</t>
        </is>
      </c>
    </row>
    <row r="151" ht="34" customHeight="1">
      <c r="A151" s="2" t="inlineStr">
        <is>
          <t>IndusInd Bank</t>
        </is>
      </c>
      <c r="B151" s="3" t="inlineStr">
        <is>
          <t>Selectable</t>
        </is>
      </c>
      <c r="C151" s="4" t="inlineStr">
        <is>
          <t>IndusInd Bank Avios Visa Infinite Credit Card</t>
        </is>
      </c>
      <c r="D151" s="4" t="inlineStr">
        <is>
          <t>Avios earn on eligible spends; current programme differentiates preferred travel/destination categories.</t>
        </is>
      </c>
      <c r="E151" s="4" t="inlineStr">
        <is>
          <t>Up to 6X Avios/₹200 at selected preferred international destination/airline categories under current programme.</t>
        </is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1.5%</t>
        </is>
      </c>
      <c r="O151" s="4" t="inlineStr"/>
      <c r="P151" s="4" t="inlineStr">
        <is>
          <t>Annual milestone opportunity up to 36,000 Avios under current programme.</t>
        </is>
      </c>
      <c r="Q151" s="4" t="inlineStr"/>
      <c r="R151" s="4" t="inlineStr"/>
      <c r="S151" s="5" t="inlineStr">
        <is>
          <t>https://www.indusind.bank.in/in/en/personal/cards/credit-card.html</t>
        </is>
      </c>
      <c r="T151" s="2" t="inlineStr">
        <is>
          <t>Current official catalogue accessed 2026-09-09</t>
        </is>
      </c>
    </row>
    <row r="152" ht="34" customHeight="1">
      <c r="A152" s="2" t="inlineStr">
        <is>
          <t>IndusInd Bank</t>
        </is>
      </c>
      <c r="B152" s="3" t="inlineStr">
        <is>
          <t>Selectable</t>
        </is>
      </c>
      <c r="C152" s="4" t="inlineStr">
        <is>
          <t>IndusInd Bank Nexxt Credit Card</t>
        </is>
      </c>
      <c r="D152" s="4" t="inlineStr">
        <is>
          <t>1 RP/₹150 on eligible spends.</t>
        </is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>
        <is>
          <t>Fuel surcharge waiver subject to current terms.</t>
        </is>
      </c>
      <c r="R152" s="4" t="inlineStr">
        <is>
          <t>Flexible transaction-level reward/EMI/credit-control functionality under current programme.</t>
        </is>
      </c>
      <c r="S152" s="5" t="inlineStr">
        <is>
          <t>https://www.indusind.bank.in/in/en/personal/cards/credit-card.html</t>
        </is>
      </c>
      <c r="T152" s="2" t="inlineStr">
        <is>
          <t>Current official catalogue accessed 2026-09-09</t>
        </is>
      </c>
    </row>
    <row r="153" ht="34" customHeight="1">
      <c r="A153" s="2" t="inlineStr">
        <is>
          <t>IndusInd Bank</t>
        </is>
      </c>
      <c r="B153" s="3" t="inlineStr">
        <is>
          <t>Selectable</t>
        </is>
      </c>
      <c r="C153" s="4" t="inlineStr">
        <is>
          <t>IndusInd Bank Tiger Credit Card</t>
        </is>
      </c>
      <c r="D153" s="4" t="inlineStr">
        <is>
          <t>Tiered rewards up to 6 reward points/₹100 under current programme.</t>
        </is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>
        <is>
          <t>1.5%</t>
        </is>
      </c>
      <c r="O153" s="4" t="inlineStr">
        <is>
          <t>2 domestic lounge visits/quarter + 2 international lounge visits/year under current programme.</t>
        </is>
      </c>
      <c r="P153" s="4" t="inlineStr"/>
      <c r="Q153" s="4" t="inlineStr"/>
      <c r="R153" s="4" t="inlineStr">
        <is>
          <t>Published movie and golf benefits, including 1 golf round/quarter under current terms.</t>
        </is>
      </c>
      <c r="S153" s="5" t="inlineStr">
        <is>
          <t>https://www.indusind.bank.in/in/en/personal/cards/credit-card.html</t>
        </is>
      </c>
      <c r="T153" s="2" t="inlineStr">
        <is>
          <t>Current official catalogue accessed 2026-09-09</t>
        </is>
      </c>
    </row>
    <row r="154" ht="34" customHeight="1">
      <c r="A154" s="2" t="inlineStr">
        <is>
          <t>IndusInd Bank</t>
        </is>
      </c>
      <c r="B154" s="3" t="inlineStr">
        <is>
          <t>Selectable</t>
        </is>
      </c>
      <c r="C154" s="4" t="inlineStr">
        <is>
          <t>IndusInd Bank Samman Credit Card</t>
        </is>
      </c>
      <c r="D154" s="4" t="inlineStr">
        <is>
          <t>1% cashback on eligible retail spends.</t>
        </is>
      </c>
      <c r="E154" s="4" t="inlineStr"/>
      <c r="F154" s="4" t="inlineStr"/>
      <c r="G154" s="4" t="inlineStr">
        <is>
          <t>Cashback eligibility capped on first ₹20,000 eligible retail spend per statement under current programme.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>
        <is>
          <t>1% fuel surcharge waiver subject to current terms.</t>
        </is>
      </c>
      <c r="R154" s="4" t="inlineStr">
        <is>
          <t>Movie-ticket benefit every six months and railway-surcharge waiver on eligible transactions, subject to current terms.</t>
        </is>
      </c>
      <c r="S154" s="5" t="inlineStr">
        <is>
          <t>https://www.indusind.bank.in/in/en/personal/cards/credit-card.html</t>
        </is>
      </c>
      <c r="T154" s="2" t="inlineStr">
        <is>
          <t>Current official catalogue accessed 2026-09-09</t>
        </is>
      </c>
    </row>
    <row r="155" ht="46" customHeight="1">
      <c r="A155" s="2" t="inlineStr">
        <is>
          <t>IndusInd Bank</t>
        </is>
      </c>
      <c r="B155" s="3" t="inlineStr">
        <is>
          <t>Selectable</t>
        </is>
      </c>
      <c r="C155" s="4" t="inlineStr">
        <is>
          <t>IndusInd Bank Jio-bp Mobility+ Credit Card</t>
        </is>
      </c>
      <c r="D155" s="4" t="inlineStr"/>
      <c r="E155" s="4" t="inlineStr">
        <is>
          <t>12 Smiles/₹100 on eligible Jio-bp spends under current programme.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>
        <is>
          <t>400 welcome Smiles after first eligible fuel transaction within 30 days; 200 bonus Smiles at ₹4,000 monthly Jio-bp spend; 4,000 bonus Smiles at ₹2 lakh eligible annual spend.</t>
        </is>
      </c>
      <c r="Q155" s="4" t="inlineStr"/>
      <c r="R155" s="4" t="inlineStr"/>
      <c r="S155" s="5" t="inlineStr">
        <is>
          <t>https://www.indusind.bank.in/in/en/personal/cards/credit-card.html</t>
        </is>
      </c>
      <c r="T155" s="2" t="inlineStr">
        <is>
          <t>Current official catalogue accessed 2026-09-09</t>
        </is>
      </c>
    </row>
    <row r="156" ht="34" customHeight="1">
      <c r="A156" s="2" t="inlineStr">
        <is>
          <t>IndusInd Bank</t>
        </is>
      </c>
      <c r="B156" s="3" t="inlineStr">
        <is>
          <t>Selectable</t>
        </is>
      </c>
      <c r="C156" s="4" t="inlineStr">
        <is>
          <t>IndusInd Bank CRED RuPay Credit Card</t>
        </is>
      </c>
      <c r="D156" s="4" t="inlineStr">
        <is>
          <t>1% CRED reward value on eligible Scan &amp; Pay, insurance/utilities via CRED, other eligible and international spends.</t>
        </is>
      </c>
      <c r="E156" s="4" t="inlineStr">
        <is>
          <t>5% CRED reward value on eligible ecommerce and selected CRED Pay/Store/Travel/gift-card/online UPI spends, subject to current programme.</t>
        </is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5" t="inlineStr">
        <is>
          <t>https://www.indusind.bank.in/in/en/personal/cards/credit-card.html</t>
        </is>
      </c>
      <c r="T156" s="2" t="inlineStr">
        <is>
          <t>Current official catalogue accessed 2026-09-09</t>
        </is>
      </c>
    </row>
    <row r="157" ht="22" customHeight="1">
      <c r="A157" s="2" t="inlineStr">
        <is>
          <t>IndusInd Bank</t>
        </is>
      </c>
      <c r="B157" s="3" t="inlineStr">
        <is>
          <t>Selectable</t>
        </is>
      </c>
      <c r="C157" s="4" t="inlineStr">
        <is>
          <t>IndusInd Bank ePay Amex Credit Card</t>
        </is>
      </c>
      <c r="D157" s="4" t="inlineStr">
        <is>
          <t>Transaction-count based earn: first 4 eligible transactions in a month earn 4 points each; transactions 5-10 earn 8 each; subsequent eligible transactions earn 10 each, subject to minimum transaction conditions.</t>
        </is>
      </c>
      <c r="E157" s="4" t="inlineStr">
        <is>
          <t>Eligible annual/12th-month programme can provide 2X points; separate annual cashback benefit may apply for timely payment under legacy terms.</t>
        </is>
      </c>
      <c r="F157" s="4" t="inlineStr"/>
      <c r="G157" s="4" t="inlineStr"/>
      <c r="H157" s="4" t="inlineStr">
        <is>
          <t>Legacy reward transactions generally required a minimum eligible transaction of ₹500.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5" t="inlineStr">
        <is>
          <t>https://www.indusind.bank.in/in/en/personal/cards/credit-card.html</t>
        </is>
      </c>
      <c r="T157" s="2" t="inlineStr">
        <is>
          <t>Current official catalogue accessed 2026-09-09</t>
        </is>
      </c>
      <c r="U157" s="5" t="inlineStr">
        <is>
          <t>https://www.indusind.bank.in/in/en/personal/cards/credit-card.html</t>
        </is>
      </c>
      <c r="V157" s="2" t="inlineStr">
        <is>
          <t>Official issuer</t>
        </is>
      </c>
      <c r="W157" s="2" t="inlineStr">
        <is>
          <t>2026-09-09</t>
        </is>
      </c>
      <c r="X157" s="2" t="inlineStr">
        <is>
          <t>Second-pass reward/cashback research; populated only from located source material.</t>
        </is>
      </c>
    </row>
    <row r="158" ht="34" customHeight="1">
      <c r="A158" s="2" t="inlineStr">
        <is>
          <t>IndusInd Bank</t>
        </is>
      </c>
      <c r="B158" s="3" t="inlineStr">
        <is>
          <t>Selectable</t>
        </is>
      </c>
      <c r="C158" s="4" t="inlineStr">
        <is>
          <t>IndusInd Bank Solitaire Credit Card</t>
        </is>
      </c>
      <c r="D158" s="4" t="inlineStr">
        <is>
          <t>1 Reward Point per ₹100 on eligible spends; selected categories earn a reduced rate.</t>
        </is>
      </c>
      <c r="E158" s="4" t="inlineStr"/>
      <c r="F158" s="4" t="inlineStr">
        <is>
          <t>Published cash redemption is approximately ₹0.50 per Reward Point, subject to current redemption terms.</t>
        </is>
      </c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>
        <is>
          <t>0%</t>
        </is>
      </c>
      <c r="O158" s="4" t="inlineStr">
        <is>
          <t>Current official material advertises 16 domestic + 16 international lounge visits/year.</t>
        </is>
      </c>
      <c r="P158" s="4" t="inlineStr"/>
      <c r="Q158" s="4" t="inlineStr"/>
      <c r="R158" s="4" t="inlineStr">
        <is>
          <t>Taj Epicure and premium travel/lifestyle benefits under current programme.</t>
        </is>
      </c>
      <c r="S158" s="5" t="inlineStr">
        <is>
          <t>https://www.indusind.bank.in/in/en/personal/cards/credit-card.html</t>
        </is>
      </c>
      <c r="T158" s="2" t="inlineStr">
        <is>
          <t>Current official catalogue accessed 2026-09-09</t>
        </is>
      </c>
      <c r="U158" s="5" t="inlineStr">
        <is>
          <t>https://www.indusind.bank.in/in/en/personal/cards/credit-card.html</t>
        </is>
      </c>
      <c r="V158" s="2" t="inlineStr">
        <is>
          <t>Official issuer</t>
        </is>
      </c>
      <c r="W158" s="2" t="inlineStr">
        <is>
          <t>2026-09-09</t>
        </is>
      </c>
      <c r="X158" s="2" t="inlineStr">
        <is>
          <t>Second-pass reward/cashback research; populated only from located source material.</t>
        </is>
      </c>
    </row>
    <row r="159" ht="22" customHeight="1">
      <c r="A159" s="2" t="inlineStr">
        <is>
          <t>IndusInd Bank</t>
        </is>
      </c>
      <c r="B159" s="3" t="inlineStr">
        <is>
          <t>Selectable</t>
        </is>
      </c>
      <c r="C159" s="4" t="inlineStr">
        <is>
          <t>IndusInd Bank Pioneer Private Credit Card</t>
        </is>
      </c>
      <c r="D159" s="4" t="inlineStr">
        <is>
          <t>Up to 3 RP/₹100 on eligible spends under current programme.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0%</t>
        </is>
      </c>
      <c r="O159" s="4" t="inlineStr">
        <is>
          <t>Unlimited domestic and international lounge access.</t>
        </is>
      </c>
      <c r="P159" s="4" t="inlineStr"/>
      <c r="Q159" s="4" t="inlineStr">
        <is>
          <t>Fuel surcharge waiver under current premium-card terms.</t>
        </is>
      </c>
      <c r="R159" s="4" t="inlineStr">
        <is>
          <t>Unlimited golf/premium concierge benefits under current programme.</t>
        </is>
      </c>
      <c r="S159" s="5" t="inlineStr">
        <is>
          <t>https://www.indusind.bank.in/in/en/personal/cards/credit-card.html</t>
        </is>
      </c>
      <c r="T159" s="2" t="inlineStr">
        <is>
          <t>Current official catalogue accessed 2026-09-09</t>
        </is>
      </c>
    </row>
    <row r="160" ht="22" customHeight="1">
      <c r="A160" s="2" t="inlineStr">
        <is>
          <t>IndusInd Bank</t>
        </is>
      </c>
      <c r="B160" s="3" t="inlineStr">
        <is>
          <t>Selectable</t>
        </is>
      </c>
      <c r="C160" s="4" t="inlineStr">
        <is>
          <t>IndusInd Bank Indulge Credit Card</t>
        </is>
      </c>
      <c r="D160" s="4" t="inlineStr">
        <is>
          <t>1.5 Reward Points per ₹100 on eligible spends.</t>
        </is>
      </c>
      <c r="E160" s="4" t="inlineStr"/>
      <c r="F160" s="4" t="inlineStr">
        <is>
          <t>Published cash redemption can be up to ₹1 per Reward Point, subject to monthly redemption limits.</t>
        </is>
      </c>
      <c r="G160" s="4" t="inlineStr">
        <is>
          <t>Cash redemption/value subject to issuer monthly point limits; legacy programme cited a 10,000-point monthly threshold.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5" t="inlineStr">
        <is>
          <t>https://www.indusind.bank.in/in/en/personal/cards/credit-card.html</t>
        </is>
      </c>
      <c r="T160" s="2" t="inlineStr">
        <is>
          <t>Current official catalogue accessed 2026-09-09</t>
        </is>
      </c>
      <c r="U160" s="5" t="inlineStr">
        <is>
          <t>https://www.indusind.bank.in/in/en/personal/cards/credit-card.html</t>
        </is>
      </c>
      <c r="V160" s="2" t="inlineStr">
        <is>
          <t>Official issuer</t>
        </is>
      </c>
      <c r="W160" s="2" t="inlineStr">
        <is>
          <t>2026-09-09</t>
        </is>
      </c>
      <c r="X160" s="2" t="inlineStr">
        <is>
          <t>Second-pass reward/cashback research; populated only from located source material.</t>
        </is>
      </c>
    </row>
    <row r="161" ht="22" customHeight="1">
      <c r="A161" s="2" t="inlineStr">
        <is>
          <t>IndusInd Bank</t>
        </is>
      </c>
      <c r="B161" s="3" t="inlineStr">
        <is>
          <t>Selectable</t>
        </is>
      </c>
      <c r="C161" s="4" t="inlineStr">
        <is>
          <t>IndusInd Bank Pioneer Heritage Credit Card</t>
        </is>
      </c>
      <c r="D161" s="4" t="inlineStr">
        <is>
          <t>1 Reward Point per ₹100 on eligible domestic spends.</t>
        </is>
      </c>
      <c r="E161" s="4" t="inlineStr">
        <is>
          <t>2.5 Reward Points per ₹100 on eligible international spends.</t>
        </is>
      </c>
      <c r="F161" s="4" t="inlineStr">
        <is>
          <t>1 Reward Point can be worth up to ₹1 for specified cash redemption; airline conversion varies (for example 2 points to 1 KrisFlyer mile in published terms).</t>
        </is>
      </c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5" t="inlineStr">
        <is>
          <t>https://www.indusind.bank.in/in/en/personal/cards/credit-card.html</t>
        </is>
      </c>
      <c r="T161" s="2" t="inlineStr">
        <is>
          <t>Current official catalogue accessed 2026-09-09</t>
        </is>
      </c>
      <c r="U161" s="5" t="inlineStr">
        <is>
          <t>https://www.indusind.bank.in/in/en/personal/cards/credit-card.html</t>
        </is>
      </c>
      <c r="V161" s="2" t="inlineStr">
        <is>
          <t>Official issuer</t>
        </is>
      </c>
      <c r="W161" s="2" t="inlineStr">
        <is>
          <t>2026-09-09</t>
        </is>
      </c>
      <c r="X161" s="2" t="inlineStr">
        <is>
          <t>Second-pass reward/cashback research; populated only from located source material.</t>
        </is>
      </c>
    </row>
    <row r="162" ht="22" customHeight="1">
      <c r="A162" s="2" t="inlineStr">
        <is>
          <t>IndusInd Bank</t>
        </is>
      </c>
      <c r="B162" s="3" t="inlineStr">
        <is>
          <t>Selectable</t>
        </is>
      </c>
      <c r="C162" s="4" t="inlineStr">
        <is>
          <t>IndusInd Bank Pioneer Legacy Credit Card</t>
        </is>
      </c>
      <c r="D162" s="4" t="inlineStr">
        <is>
          <t>1 RP/₹100 on eligible weekday spends.</t>
        </is>
      </c>
      <c r="E162" s="4" t="inlineStr">
        <is>
          <t>2 RP/₹100 on eligible weekend spends.</t>
        </is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>
        <is>
          <t>Fuel surcharge waiver under current terms.</t>
        </is>
      </c>
      <c r="R162" s="4" t="inlineStr">
        <is>
          <t>Golf benefits under current programme.</t>
        </is>
      </c>
      <c r="S162" s="5" t="inlineStr">
        <is>
          <t>https://www.indusind.bank.in/in/en/personal/cards/credit-card.html</t>
        </is>
      </c>
      <c r="T162" s="2" t="inlineStr">
        <is>
          <t>Current official catalogue accessed 2026-09-09</t>
        </is>
      </c>
    </row>
    <row r="163" ht="22" customHeight="1">
      <c r="A163" s="2" t="inlineStr">
        <is>
          <t>IndusInd Bank</t>
        </is>
      </c>
      <c r="B163" s="3" t="inlineStr">
        <is>
          <t>Selectable</t>
        </is>
      </c>
      <c r="C163" s="4" t="inlineStr">
        <is>
          <t>IndusInd Bank Crest Credit Card</t>
        </is>
      </c>
      <c r="D163" s="4" t="inlineStr">
        <is>
          <t>1 RP/₹100 on eligible domestic spends.</t>
        </is>
      </c>
      <c r="E163" s="4" t="inlineStr">
        <is>
          <t>2.5 RP/₹100 on eligible international spends.</t>
        </is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>
        <is>
          <t>Fuel surcharge waiver under current terms.</t>
        </is>
      </c>
      <c r="R163" s="4" t="inlineStr">
        <is>
          <t>Golf benefits under current programme.</t>
        </is>
      </c>
      <c r="S163" s="5" t="inlineStr">
        <is>
          <t>https://www.indusind.bank.in/in/en/personal/cards/credit-card.html</t>
        </is>
      </c>
      <c r="T163" s="2" t="inlineStr">
        <is>
          <t>Current official catalogue accessed 2026-09-09</t>
        </is>
      </c>
    </row>
    <row r="164" ht="34" customHeight="1">
      <c r="A164" s="2" t="inlineStr">
        <is>
          <t>IndusInd Bank</t>
        </is>
      </c>
      <c r="B164" s="3" t="inlineStr">
        <is>
          <t>Selectable</t>
        </is>
      </c>
      <c r="C164" s="4" t="inlineStr">
        <is>
          <t>IndusInd Bank Celesta Credit Card</t>
        </is>
      </c>
      <c r="D164" s="4" t="inlineStr">
        <is>
          <t>1 RP/₹100 on eligible domestic spends.</t>
        </is>
      </c>
      <c r="E164" s="4" t="inlineStr">
        <is>
          <t>3 RP/₹100 on eligible international spends.</t>
        </is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>
        <is>
          <t>Current official FAQ/material advertises unlimited domestic lounge access, subject to programme conditions.</t>
        </is>
      </c>
      <c r="P164" s="4" t="inlineStr"/>
      <c r="Q164" s="4" t="inlineStr"/>
      <c r="R164" s="4" t="inlineStr"/>
      <c r="S164" s="5" t="inlineStr">
        <is>
          <t>https://www.indusind.bank.in/in/en/personal/cards/credit-card.html</t>
        </is>
      </c>
      <c r="T164" s="2" t="inlineStr">
        <is>
          <t>Current official catalogue accessed 2026-09-09</t>
        </is>
      </c>
    </row>
    <row r="165" ht="22" customHeight="1">
      <c r="A165" s="2" t="inlineStr">
        <is>
          <t>IndusInd Bank</t>
        </is>
      </c>
      <c r="B165" s="6" t="inlineStr">
        <is>
          <t>Discontinued</t>
        </is>
      </c>
      <c r="C165" s="4" t="inlineStr">
        <is>
          <t>IndusInd Bank Platinum Aura Credit Card</t>
        </is>
      </c>
      <c r="D165" s="4" t="inlineStr">
        <is>
          <t>Plan-dependent; legacy programme typically provides 0.5 Savings Point per ₹100 on uncategorised spends.</t>
        </is>
      </c>
      <c r="E165" s="4" t="inlineStr">
        <is>
          <t>Depending on selected plan, categories can earn up to 4 Savings Points per ₹100 (e.g. departmental stores/grocery/hotels/restaurants), with intermediate rates by plan.</t>
        </is>
      </c>
      <c r="F165" s="4" t="inlineStr">
        <is>
          <t>1 Savings Point historically = about ₹0.50 cash value or 0.5 airline mile.</t>
        </is>
      </c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5" t="inlineStr">
        <is>
          <t>https://www.indusind.bank.in/in/en/personal/cards/credit-card.html</t>
        </is>
      </c>
      <c r="T165" s="2" t="inlineStr">
        <is>
          <t>Legacy official issuer material; card discontinued</t>
        </is>
      </c>
      <c r="U165" s="5" t="inlineStr">
        <is>
          <t>https://www.indusind.bank.in/in/en/personal/cards/credit-card/platinum-aura-visa-and-mastercard-credit-card.html</t>
        </is>
      </c>
      <c r="V165" s="2" t="inlineStr">
        <is>
          <t>Official issuer</t>
        </is>
      </c>
      <c r="W165" s="2" t="inlineStr">
        <is>
          <t>2026-09-09</t>
        </is>
      </c>
      <c r="X165" s="2" t="inlineStr">
        <is>
          <t>Discontinued card; official legacy page still exposes the plan-based rewards proposition.</t>
        </is>
      </c>
    </row>
    <row r="166" ht="22" customHeight="1">
      <c r="A166" s="2" t="inlineStr">
        <is>
          <t>IndusInd Bank</t>
        </is>
      </c>
      <c r="B166" s="6" t="inlineStr">
        <is>
          <t>Discontinued</t>
        </is>
      </c>
      <c r="C166" s="4" t="inlineStr">
        <is>
          <t>IndusInd Bank Platinum Select Credit Card</t>
        </is>
      </c>
      <c r="D166" s="4" t="inlineStr">
        <is>
          <t>1 Reward Point per ₹150 on eligible spends under the legacy programme.</t>
        </is>
      </c>
      <c r="E166" s="4" t="inlineStr"/>
      <c r="F166" s="4" t="inlineStr">
        <is>
          <t>Legacy redemption values were about ₹0.40/point for cash and up to ₹0.60/point for selected non-cash redemption.</t>
        </is>
      </c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5" t="inlineStr">
        <is>
          <t>https://www.indusind.bank.in/in/en/personal/cards/credit-card.html</t>
        </is>
      </c>
      <c r="T166" s="2" t="inlineStr">
        <is>
          <t>Legacy official issuer material; card discontinued</t>
        </is>
      </c>
      <c r="U166" s="5" t="inlineStr">
        <is>
          <t>https://www.indusind.bank.in/in/en/personal/cards/credit-card.html</t>
        </is>
      </c>
      <c r="V166" s="2" t="inlineStr">
        <is>
          <t>Official issuer</t>
        </is>
      </c>
      <c r="W166" s="2" t="inlineStr">
        <is>
          <t>2026-09-09</t>
        </is>
      </c>
      <c r="X166" s="2" t="inlineStr">
        <is>
          <t>Discontinued; rate recovered from legacy programme material.</t>
        </is>
      </c>
    </row>
    <row r="167" ht="22" customHeight="1">
      <c r="A167" s="2" t="inlineStr">
        <is>
          <t>IndusInd Bank</t>
        </is>
      </c>
      <c r="B167" s="6" t="inlineStr">
        <is>
          <t>Discontinued</t>
        </is>
      </c>
      <c r="C167" s="4" t="inlineStr">
        <is>
          <t>IndusInd Bank Iconia Credit Card</t>
        </is>
      </c>
      <c r="D167" s="4" t="inlineStr">
        <is>
          <t>Legacy earn: 0.75 Reward Point per ₹100 on eligible weekday spends and 1 Reward Point per ₹100 on eligible weekend spends.</t>
        </is>
      </c>
      <c r="E167" s="4" t="inlineStr"/>
      <c r="F167" s="4" t="inlineStr">
        <is>
          <t>Legacy redemption value varied by route; approximately ₹0.50 cash and up to ₹0.75 for selected non-cash redemption.</t>
        </is>
      </c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5" t="inlineStr">
        <is>
          <t>https://www.indusind.bank.in/in/en/personal/cards/credit-card.html</t>
        </is>
      </c>
      <c r="T167" s="2" t="inlineStr">
        <is>
          <t>Legacy official issuer material; card discontinued</t>
        </is>
      </c>
      <c r="U167" s="5" t="inlineStr">
        <is>
          <t>https://www.indusind.bank.in/in/en/personal/cards/credit-card.html</t>
        </is>
      </c>
      <c r="V167" s="2" t="inlineStr">
        <is>
          <t>Official issuer</t>
        </is>
      </c>
      <c r="W167" s="2" t="inlineStr">
        <is>
          <t>2026-09-09</t>
        </is>
      </c>
      <c r="X167" s="2" t="inlineStr">
        <is>
          <t>Discontinued; legacy earn structure recovered from issuer material.</t>
        </is>
      </c>
    </row>
    <row r="168" ht="22" customHeight="1">
      <c r="A168" s="2" t="inlineStr">
        <is>
          <t>IndusInd Bank</t>
        </is>
      </c>
      <c r="B168" s="6" t="inlineStr">
        <is>
          <t>Discontinued</t>
        </is>
      </c>
      <c r="C168" s="4" t="inlineStr">
        <is>
          <t>InterMiles IndusInd Bank Odyssey Credit Card</t>
        </is>
      </c>
      <c r="D168" s="4" t="inlineStr">
        <is>
          <t>Network dependent legacy earn. Amex variant: 4 InterMiles per ₹100 on eligible weekday spends and 6 on weekends.</t>
        </is>
      </c>
      <c r="E168" s="4" t="inlineStr">
        <is>
          <t>Amex variant: 8 InterMiles per ₹100 on eligible weekday flight/hotel bookings through InterMiles and 12 on weekends; Visa variant has lower rates.</t>
        </is>
      </c>
      <c r="F168" s="4" t="inlineStr"/>
      <c r="G168" s="4" t="inlineStr">
        <is>
          <t>Legacy annual earn cap applied (e.g. 75,000 InterMiles/year on the Amex proposition).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5" t="inlineStr">
        <is>
          <t>https://www.indusind.bank.in/in/en/personal/cards/credit-card.html</t>
        </is>
      </c>
      <c r="T168" s="2" t="inlineStr">
        <is>
          <t>Legacy official issuer material; card discontinued</t>
        </is>
      </c>
      <c r="U168" s="5" t="inlineStr">
        <is>
          <t>https://www.indusind.bank.in/in/en/personal/cards/credit-card/intermiles-odyssey-amex-credit-card.html</t>
        </is>
      </c>
      <c r="V168" s="2" t="inlineStr">
        <is>
          <t>Official issuer</t>
        </is>
      </c>
      <c r="W168" s="2" t="inlineStr">
        <is>
          <t>2026-09-09</t>
        </is>
      </c>
      <c r="X168" s="2" t="inlineStr">
        <is>
          <t>Discontinued and network-dependent; catalogue name does not specify network.</t>
        </is>
      </c>
    </row>
    <row r="169" ht="22" customHeight="1">
      <c r="A169" s="2" t="inlineStr">
        <is>
          <t>IndusInd Bank</t>
        </is>
      </c>
      <c r="B169" s="6" t="inlineStr">
        <is>
          <t>Discontinued</t>
        </is>
      </c>
      <c r="C169" s="4" t="inlineStr">
        <is>
          <t>InterMiles IndusInd Bank Voyage Credit Card</t>
        </is>
      </c>
      <c r="D169" s="4" t="inlineStr">
        <is>
          <t>Visa legacy proposition: 2 InterMiles per ₹100 on eligible weekday spends and 3 on weekends; Amex variant differs.</t>
        </is>
      </c>
      <c r="E169" s="4" t="inlineStr">
        <is>
          <t>Visa: 4 InterMiles per ₹100 on eligible weekday flight/hotel spends through InterMiles and 6 on weekends.</t>
        </is>
      </c>
      <c r="F169" s="4" t="inlineStr"/>
      <c r="G169" s="4" t="inlineStr">
        <is>
          <t>Legacy annual cap around 50,000 InterMiles on the Visa proposition.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5" t="inlineStr">
        <is>
          <t>https://www.indusind.bank.in/in/en/personal/cards/credit-card.html</t>
        </is>
      </c>
      <c r="T169" s="2" t="inlineStr">
        <is>
          <t>Legacy official issuer material; card discontinued</t>
        </is>
      </c>
      <c r="U169" s="5" t="inlineStr">
        <is>
          <t>https://www.indusind.bank.in/in/en/personal/cards/credit-card/intermiles-voyage-visa-credit-card.html</t>
        </is>
      </c>
      <c r="V169" s="2" t="inlineStr">
        <is>
          <t>Official issuer</t>
        </is>
      </c>
      <c r="W169" s="2" t="inlineStr">
        <is>
          <t>2026-09-09</t>
        </is>
      </c>
      <c r="X169" s="2" t="inlineStr">
        <is>
          <t>Discontinued and network-dependent; rates shown are for the Visa proposition where specified.</t>
        </is>
      </c>
    </row>
    <row r="170" ht="34" customHeight="1">
      <c r="A170" s="2" t="inlineStr">
        <is>
          <t>IndusInd Bank</t>
        </is>
      </c>
      <c r="B170" s="6" t="inlineStr">
        <is>
          <t>Discontinued</t>
        </is>
      </c>
      <c r="C170" s="4" t="inlineStr">
        <is>
          <t>IndusInd Bank Platinum Aura Edge Government Credit Card</t>
        </is>
      </c>
      <c r="D170" s="4" t="inlineStr">
        <is>
          <t>Legacy programme: 1% cashback on eligible spends up to the stated statement-cycle threshold.</t>
        </is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>
        <is>
          <t>Legacy fuel/rail surcharge benefits published in official material.</t>
        </is>
      </c>
      <c r="R170" s="4" t="inlineStr"/>
      <c r="S170" s="5" t="inlineStr">
        <is>
          <t>https://www.indusind.bank.in/in/en/personal/cards/credit-card.html</t>
        </is>
      </c>
      <c r="T170" s="2" t="inlineStr">
        <is>
          <t>Legacy official material retained on issuer site; card discontinued</t>
        </is>
      </c>
    </row>
    <row r="171" ht="34" customHeight="1">
      <c r="A171" s="2" t="inlineStr">
        <is>
          <t>IndusInd Bank</t>
        </is>
      </c>
      <c r="B171" s="6" t="inlineStr">
        <is>
          <t>Discontinued</t>
        </is>
      </c>
      <c r="C171" s="4" t="inlineStr">
        <is>
          <t>IndusInd Bank Poonawalla eLITE Credit Card</t>
        </is>
      </c>
      <c r="D171" s="4" t="inlineStr"/>
      <c r="E171" s="4" t="inlineStr">
        <is>
          <t>Legacy programme: 2.5 RP on eligible ecommerce spend units under issuer terms.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Legacy 3,000 RP milestone at ₹4 lakh eligible annual spend.</t>
        </is>
      </c>
      <c r="Q171" s="4" t="inlineStr">
        <is>
          <t>Legacy 1% fuel surcharge waiver.</t>
        </is>
      </c>
      <c r="R171" s="4" t="inlineStr">
        <is>
          <t>Legacy monthly BOGO movie benefit capped per current archived material.</t>
        </is>
      </c>
      <c r="S171" s="5" t="inlineStr">
        <is>
          <t>https://www.indusind.bank.in/in/en/personal/cards/credit-card.html</t>
        </is>
      </c>
      <c r="T171" s="2" t="inlineStr">
        <is>
          <t>Legacy official material retained on issuer site; card discontinued</t>
        </is>
      </c>
    </row>
    <row r="172" ht="22" customHeight="1">
      <c r="A172" s="2" t="inlineStr">
        <is>
          <t>IndusInd Bank</t>
        </is>
      </c>
      <c r="B172" s="6" t="inlineStr">
        <is>
          <t>Discontinued</t>
        </is>
      </c>
      <c r="C172" s="4" t="inlineStr">
        <is>
          <t>Club Vistara IndusInd Bank Explorer Credit Card</t>
        </is>
      </c>
      <c r="D172" s="4" t="inlineStr">
        <is>
          <t>2 Club Vistara/Maharaja Points per ₹200 on eligible other spends.</t>
        </is>
      </c>
      <c r="E172" s="4" t="inlineStr">
        <is>
          <t>8 points per ₹200 on eligible Vistara spends and 6 per ₹200 on eligible hotels/airlines/travel; selected categories such as utilities/insurance/government/fuel earned reduced points.</t>
        </is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5" t="inlineStr">
        <is>
          <t>https://www.indusind.bank.in/in/en/personal/cards/credit-card.html</t>
        </is>
      </c>
      <c r="T172" s="2" t="inlineStr">
        <is>
          <t>Legacy official issuer material; card discontinued</t>
        </is>
      </c>
      <c r="U172" s="5" t="inlineStr">
        <is>
          <t>https://www.indusind.bank.in/in/en/personal/cards/credit-card.html</t>
        </is>
      </c>
      <c r="V172" s="2" t="inlineStr">
        <is>
          <t>Official issuer</t>
        </is>
      </c>
      <c r="W172" s="2" t="inlineStr">
        <is>
          <t>2026-09-09</t>
        </is>
      </c>
      <c r="X172" s="2" t="inlineStr">
        <is>
          <t>Discontinued legacy co-brand; recovered from legacy benefit material.</t>
        </is>
      </c>
    </row>
    <row r="173" ht="34" customHeight="1">
      <c r="A173" s="2" t="inlineStr">
        <is>
          <t>AU Small Finance Bank</t>
        </is>
      </c>
      <c r="B173" s="3" t="inlineStr">
        <is>
          <t>Selectable</t>
        </is>
      </c>
      <c r="C173" s="4" t="inlineStr">
        <is>
          <t>AU SPONT Credit Card</t>
        </is>
      </c>
      <c r="D173" s="4" t="inlineStr">
        <is>
          <t>1% cashback on eligible e-commerce, POS, contactless and UPI spends.</t>
        </is>
      </c>
      <c r="E173" s="4" t="inlineStr"/>
      <c r="F173" s="4" t="inlineStr"/>
      <c r="G173" s="4" t="inlineStr">
        <is>
          <t>Cashback subject to the issuer statement-cycle cap under current SPONT terms.</t>
        </is>
      </c>
      <c r="H173" s="4" t="inlineStr"/>
      <c r="I173" s="4" t="inlineStr"/>
      <c r="J173" s="4" t="inlineStr"/>
      <c r="K173" s="4" t="inlineStr">
        <is>
          <t>₹299</t>
        </is>
      </c>
      <c r="L173" s="4" t="inlineStr">
        <is>
          <t>₹299</t>
        </is>
      </c>
      <c r="M173" s="4" t="inlineStr"/>
      <c r="N173" s="4" t="inlineStr">
        <is>
          <t>3.49%</t>
        </is>
      </c>
      <c r="O173" s="4" t="inlineStr"/>
      <c r="P173" s="4" t="inlineStr"/>
      <c r="Q173" s="4" t="inlineStr">
        <is>
          <t>1% waiver on eligible fuel transactions ₹400–₹5,000; max ₹100 per statement month.</t>
        </is>
      </c>
      <c r="R173" s="4" t="inlineStr"/>
      <c r="S173" s="5" t="inlineStr">
        <is>
          <t>https://www.au.bank.in/personal-banking/credit-cards
https://www.au.bank.in/pdf/credit-card/Schedule-of-Charges-CC.pdf</t>
        </is>
      </c>
      <c r="T173" s="2" t="inlineStr">
        <is>
          <t>KFS Version 1.8 last updated 2026-07-07; catalogue accessed 2026-09-09</t>
        </is>
      </c>
      <c r="U173" s="5" t="inlineStr">
        <is>
          <t>https://www.au.bank.in/personal-banking/credit-cards/au-spont-credit-card</t>
        </is>
      </c>
      <c r="V173" s="2" t="inlineStr">
        <is>
          <t>Official issuer</t>
        </is>
      </c>
      <c r="W173" s="2" t="inlineStr">
        <is>
          <t>2026-09-09</t>
        </is>
      </c>
      <c r="X173" s="2" t="inlineStr">
        <is>
          <t>Second-pass reward/cashback research; populated only from located source material.</t>
        </is>
      </c>
    </row>
    <row r="174" ht="34" customHeight="1">
      <c r="A174" s="2" t="inlineStr">
        <is>
          <t>AU Small Finance Bank</t>
        </is>
      </c>
      <c r="B174" s="3" t="inlineStr">
        <is>
          <t>Selectable</t>
        </is>
      </c>
      <c r="C174" s="4" t="inlineStr">
        <is>
          <t>ixigo AU Credit Card</t>
        </is>
      </c>
      <c r="D174" s="4" t="inlineStr">
        <is>
          <t>5 Reward Points per ₹200 on eligible online, offline and UPI spends under the current proposition.</t>
        </is>
      </c>
      <c r="E174" s="4" t="inlineStr">
        <is>
          <t>Quarterly bonus of 5,000 Reward Points on achieving ₹75,000 eligible quarterly spend, subject to programme rules.</t>
        </is>
      </c>
      <c r="F174" s="4" t="inlineStr"/>
      <c r="G174" s="4" t="inlineStr"/>
      <c r="H174" s="4" t="inlineStr"/>
      <c r="I174" s="4" t="inlineStr"/>
      <c r="J174" s="4" t="inlineStr"/>
      <c r="K174" s="4" t="inlineStr">
        <is>
          <t>Lifetime Free</t>
        </is>
      </c>
      <c r="L174" s="4" t="inlineStr">
        <is>
          <t>Lifetime Free</t>
        </is>
      </c>
      <c r="M174" s="4" t="inlineStr"/>
      <c r="N174" s="4" t="inlineStr">
        <is>
          <t>0%</t>
        </is>
      </c>
      <c r="O174" s="4" t="inlineStr"/>
      <c r="P174" s="4" t="inlineStr"/>
      <c r="Q174" s="4" t="inlineStr">
        <is>
          <t>1% waiver on eligible fuel transactions ₹400–₹5,000; max ₹250 per statement month.</t>
        </is>
      </c>
      <c r="R174" s="4" t="inlineStr"/>
      <c r="S174" s="5" t="inlineStr">
        <is>
          <t>https://www.au.bank.in/personal-banking/credit-cards
https://www.au.bank.in/pdf/credit-card/Schedule-of-Charges-CC.pdf</t>
        </is>
      </c>
      <c r="T174" s="2" t="inlineStr">
        <is>
          <t>KFS Version 1.8 last updated 2026-07-07; catalogue accessed 2026-09-09</t>
        </is>
      </c>
      <c r="U174" s="5" t="inlineStr">
        <is>
          <t>https://www.au.bank.in/personal-banking/credit-cards/ixigo-au-credit-card</t>
        </is>
      </c>
      <c r="V174" s="2" t="inlineStr">
        <is>
          <t>Official issuer</t>
        </is>
      </c>
      <c r="W174" s="2" t="inlineStr">
        <is>
          <t>2026-09-09</t>
        </is>
      </c>
      <c r="X174" s="2" t="inlineStr">
        <is>
          <t>Second-pass reward/cashback research; populated only from located source material.</t>
        </is>
      </c>
    </row>
    <row r="175" ht="34" customHeight="1">
      <c r="A175" s="2" t="inlineStr">
        <is>
          <t>AU Small Finance Bank</t>
        </is>
      </c>
      <c r="B175" s="3" t="inlineStr">
        <is>
          <t>Selectable</t>
        </is>
      </c>
      <c r="C175" s="4" t="inlineStr">
        <is>
          <t>AU Zenith+ Credit Card</t>
        </is>
      </c>
      <c r="D175" s="4" t="inlineStr">
        <is>
          <t>Issuer describes up to 2 Reward Points per ₹100 on eligible dining, travel and international spends; no broader simple base rate is prominently disclosed on the live page.</t>
        </is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>
        <is>
          <t>₹4,999</t>
        </is>
      </c>
      <c r="L175" s="4" t="inlineStr">
        <is>
          <t>₹4,999</t>
        </is>
      </c>
      <c r="M175" s="4" t="inlineStr">
        <is>
          <t>Published renewal-fee waiver at ₹8 lakh annual spend, subject to current eligible-spend definition.</t>
        </is>
      </c>
      <c r="N175" s="4" t="inlineStr">
        <is>
          <t>0.99%</t>
        </is>
      </c>
      <c r="O175" s="4" t="inlineStr"/>
      <c r="P175" s="4" t="inlineStr"/>
      <c r="Q175" s="4" t="inlineStr">
        <is>
          <t>1% waiver on eligible fuel transactions ₹400–₹5,000; max ₹1,000 per statement month.</t>
        </is>
      </c>
      <c r="R175" s="4" t="inlineStr"/>
      <c r="S175" s="5" t="inlineStr">
        <is>
          <t>https://www.au.bank.in/personal-banking/credit-cards
https://www.au.bank.in/pdf/credit-card/Schedule-of-Charges-CC.pdf</t>
        </is>
      </c>
      <c r="T175" s="2" t="inlineStr">
        <is>
          <t>KFS Version 1.8 last updated 2026-07-07; catalogue accessed 2026-09-09</t>
        </is>
      </c>
      <c r="U175" s="5" t="inlineStr">
        <is>
          <t>https://www.au.bank.in/premium-banking/credit-cards/zenith-plus-credit-card</t>
        </is>
      </c>
      <c r="V175" s="2" t="inlineStr">
        <is>
          <t>Official issuer</t>
        </is>
      </c>
      <c r="W175" s="2" t="inlineStr">
        <is>
          <t>2026-09-09</t>
        </is>
      </c>
      <c r="X175" s="2" t="inlineStr">
        <is>
          <t>Current live issuer page uses an up-to formulation; no inferred generic base rate added.</t>
        </is>
      </c>
    </row>
    <row r="176" ht="34" customHeight="1">
      <c r="A176" s="2" t="inlineStr">
        <is>
          <t>AU Small Finance Bank</t>
        </is>
      </c>
      <c r="B176" s="3" t="inlineStr">
        <is>
          <t>Selectable</t>
        </is>
      </c>
      <c r="C176" s="4" t="inlineStr">
        <is>
          <t>AU Bank Ananta Credit Card</t>
        </is>
      </c>
      <c r="D176" s="4" t="inlineStr">
        <is>
          <t>2 Reward Points per ₹100 on eligible other retail spends; 1 per ₹100 on selected utility/insurance/telecom spends.</t>
        </is>
      </c>
      <c r="E176" s="4" t="inlineStr">
        <is>
          <t>5 Reward Points per ₹100 on eligible shopping, dining and travel.</t>
        </is>
      </c>
      <c r="F176" s="4" t="inlineStr">
        <is>
          <t>1 Reward Point = about ₹0.25 under the AU Rewardz redemption framework, subject to redemption route.</t>
        </is>
      </c>
      <c r="G176" s="4" t="inlineStr">
        <is>
          <t>Accelerated shopping/dining/travel rewards capped at 5,000 Reward Points per statement cycle.</t>
        </is>
      </c>
      <c r="H176" s="4" t="inlineStr"/>
      <c r="I176" s="4" t="inlineStr"/>
      <c r="J176" s="4" t="inlineStr"/>
      <c r="K176" s="4" t="inlineStr">
        <is>
          <t>₹2,000</t>
        </is>
      </c>
      <c r="L176" s="4" t="inlineStr">
        <is>
          <t>₹2,000</t>
        </is>
      </c>
      <c r="M176" s="4" t="inlineStr"/>
      <c r="N176" s="4" t="inlineStr">
        <is>
          <t>3.49%</t>
        </is>
      </c>
      <c r="O176" s="4" t="inlineStr"/>
      <c r="P176" s="4" t="inlineStr"/>
      <c r="Q176" s="4" t="inlineStr">
        <is>
          <t>1% waiver on eligible fuel transactions ₹400–₹5,000; max ₹200 per statement month.</t>
        </is>
      </c>
      <c r="R176" s="4" t="inlineStr"/>
      <c r="S176" s="5" t="inlineStr">
        <is>
          <t>https://www.au.bank.in/personal-banking/credit-cards
https://www.au.bank.in/pdf/credit-card/Schedule-of-Charges-CC.pdf</t>
        </is>
      </c>
      <c r="T176" s="2" t="inlineStr">
        <is>
          <t>KFS Version 1.8 last updated 2026-07-07; catalogue accessed 2026-09-09</t>
        </is>
      </c>
      <c r="U176" s="5" t="inlineStr">
        <is>
          <t>https://www.au.bank.in/personal-banking/credit-cards/ananta-credit-card</t>
        </is>
      </c>
      <c r="V176" s="2" t="inlineStr">
        <is>
          <t>Official issuer</t>
        </is>
      </c>
      <c r="W176" s="2" t="inlineStr">
        <is>
          <t>2026-09-09</t>
        </is>
      </c>
      <c r="X176" s="2" t="inlineStr">
        <is>
          <t>Second-pass reward/cashback research; populated only from located source material.</t>
        </is>
      </c>
    </row>
    <row r="177" ht="34" customHeight="1">
      <c r="A177" s="2" t="inlineStr">
        <is>
          <t>AU Small Finance Bank</t>
        </is>
      </c>
      <c r="B177" s="3" t="inlineStr">
        <is>
          <t>Selectable</t>
        </is>
      </c>
      <c r="C177" s="4" t="inlineStr">
        <is>
          <t>AU Bank Laksya Credit Card</t>
        </is>
      </c>
      <c r="D177" s="4" t="inlineStr">
        <is>
          <t>2 Reward Points per ₹100 on eligible other retail spends; 1 per ₹100 on insurance, utility and telecom spends.</t>
        </is>
      </c>
      <c r="E177" s="4" t="inlineStr">
        <is>
          <t>5 Reward Points per ₹100 on eligible grocery, departmental-store and contactless spends.</t>
        </is>
      </c>
      <c r="F177" s="4" t="inlineStr"/>
      <c r="G177" s="4" t="inlineStr">
        <is>
          <t>Grocery and departmental-store accelerated rewards capped at 1,000 Reward Points per statement cycle; contactless accelerated earn is not capped on the live page.</t>
        </is>
      </c>
      <c r="H177" s="4" t="inlineStr"/>
      <c r="I177" s="4" t="inlineStr"/>
      <c r="J177" s="4" t="inlineStr"/>
      <c r="K177" s="4" t="inlineStr">
        <is>
          <t>₹1,000</t>
        </is>
      </c>
      <c r="L177" s="4" t="inlineStr">
        <is>
          <t>₹1,000</t>
        </is>
      </c>
      <c r="M177" s="4" t="inlineStr"/>
      <c r="N177" s="4" t="inlineStr">
        <is>
          <t>3.49%</t>
        </is>
      </c>
      <c r="O177" s="4" t="inlineStr"/>
      <c r="P177" s="4" t="inlineStr"/>
      <c r="Q177" s="4" t="inlineStr">
        <is>
          <t>1% waiver on eligible fuel transactions ₹400–₹5,000; max ₹150 per statement month.</t>
        </is>
      </c>
      <c r="R177" s="4" t="inlineStr"/>
      <c r="S177" s="5" t="inlineStr">
        <is>
          <t>https://www.au.bank.in/personal-banking/credit-cards
https://www.au.bank.in/pdf/credit-card/Schedule-of-Charges-CC.pdf</t>
        </is>
      </c>
      <c r="T177" s="2" t="inlineStr">
        <is>
          <t>KFS Version 1.8 last updated 2026-07-07; catalogue accessed 2026-09-09</t>
        </is>
      </c>
      <c r="U177" s="5" t="inlineStr">
        <is>
          <t>https://www.au.bank.in/personal-banking/credit-cards/laksya-credit-card</t>
        </is>
      </c>
      <c r="V177" s="2" t="inlineStr">
        <is>
          <t>Official issuer</t>
        </is>
      </c>
      <c r="W177" s="2" t="inlineStr">
        <is>
          <t>2026-09-09</t>
        </is>
      </c>
      <c r="X177" s="2" t="inlineStr">
        <is>
          <t>Second-pass reward/cashback research; populated only from located source material.</t>
        </is>
      </c>
    </row>
    <row r="178" ht="34" customHeight="1">
      <c r="A178" s="2" t="inlineStr">
        <is>
          <t>AU Small Finance Bank</t>
        </is>
      </c>
      <c r="B178" s="3" t="inlineStr">
        <is>
          <t>Selectable</t>
        </is>
      </c>
      <c r="C178" s="4" t="inlineStr">
        <is>
          <t>AU Bank Tejas Credit Card</t>
        </is>
      </c>
      <c r="D178" s="4" t="inlineStr">
        <is>
          <t>1 Reward Point per ₹100 on eligible other spends.</t>
        </is>
      </c>
      <c r="E178" s="4" t="inlineStr">
        <is>
          <t>5 Reward Points per ₹100 on eligible transactions through AU Rewardz; separate 10% partner cashback offers apply to specified merchants/categories.</t>
        </is>
      </c>
      <c r="F178" s="4" t="inlineStr"/>
      <c r="G178" s="4" t="inlineStr"/>
      <c r="H178" s="4" t="inlineStr"/>
      <c r="I178" s="4" t="inlineStr"/>
      <c r="J178" s="4" t="inlineStr"/>
      <c r="K178" s="4" t="inlineStr">
        <is>
          <t>₹500</t>
        </is>
      </c>
      <c r="L178" s="4" t="inlineStr">
        <is>
          <t>₹500</t>
        </is>
      </c>
      <c r="M178" s="4" t="inlineStr"/>
      <c r="N178" s="4" t="inlineStr">
        <is>
          <t>3.49%</t>
        </is>
      </c>
      <c r="O178" s="4" t="inlineStr"/>
      <c r="P178" s="4" t="inlineStr"/>
      <c r="Q178" s="4" t="inlineStr">
        <is>
          <t>1% waiver on eligible fuel transactions ₹400–₹5,000; max ₹100 per statement month.</t>
        </is>
      </c>
      <c r="R178" s="4" t="inlineStr"/>
      <c r="S178" s="5" t="inlineStr">
        <is>
          <t>https://www.au.bank.in/personal-banking/credit-cards
https://www.au.bank.in/pdf/credit-card/Schedule-of-Charges-CC.pdf</t>
        </is>
      </c>
      <c r="T178" s="2" t="inlineStr">
        <is>
          <t>KFS Version 1.8 last updated 2026-07-07; catalogue accessed 2026-09-09</t>
        </is>
      </c>
      <c r="U178" s="5" t="inlineStr">
        <is>
          <t>https://www.au.bank.in/personal-banking/credit-cards/tejas-credit-card</t>
        </is>
      </c>
      <c r="V178" s="2" t="inlineStr">
        <is>
          <t>Official issuer</t>
        </is>
      </c>
      <c r="W178" s="2" t="inlineStr">
        <is>
          <t>2026-09-09</t>
        </is>
      </c>
      <c r="X178" s="2" t="inlineStr">
        <is>
          <t>Second-pass reward/cashback research; populated only from located source material.</t>
        </is>
      </c>
    </row>
    <row r="179" ht="34" customHeight="1">
      <c r="A179" s="2" t="inlineStr">
        <is>
          <t>AU Small Finance Bank</t>
        </is>
      </c>
      <c r="B179" s="3" t="inlineStr">
        <is>
          <t>Selectable</t>
        </is>
      </c>
      <c r="C179" s="4" t="inlineStr">
        <is>
          <t>AU Bank Prathama Credit Card</t>
        </is>
      </c>
      <c r="D179" s="4" t="inlineStr">
        <is>
          <t>1 Reward Point per ₹100 on eligible other spends.</t>
        </is>
      </c>
      <c r="E179" s="4" t="inlineStr">
        <is>
          <t>2 Reward Points per ₹100 on eligible contactless spends; after ₹5,000 eligible statement-cycle spend, incremental eligible spend can earn 2 points per ₹100.</t>
        </is>
      </c>
      <c r="F179" s="4" t="inlineStr"/>
      <c r="G179" s="4" t="inlineStr">
        <is>
          <t>Incremental milestone rewards capped at the issuer statement-cycle limit (1,000 points in current agreement).</t>
        </is>
      </c>
      <c r="H179" s="4" t="inlineStr"/>
      <c r="I179" s="4" t="inlineStr"/>
      <c r="J179" s="4" t="inlineStr"/>
      <c r="K179" s="4" t="inlineStr">
        <is>
          <t>₹100</t>
        </is>
      </c>
      <c r="L179" s="4" t="inlineStr">
        <is>
          <t>₹100</t>
        </is>
      </c>
      <c r="M179" s="4" t="inlineStr"/>
      <c r="N179" s="4" t="inlineStr">
        <is>
          <t>3.49%</t>
        </is>
      </c>
      <c r="O179" s="4" t="inlineStr"/>
      <c r="P179" s="4" t="inlineStr"/>
      <c r="Q179" s="4" t="inlineStr">
        <is>
          <t>1% waiver on eligible fuel transactions ₹400–₹5,000; max ₹100 per statement month.</t>
        </is>
      </c>
      <c r="R179" s="4" t="inlineStr"/>
      <c r="S179" s="5" t="inlineStr">
        <is>
          <t>https://www.au.bank.in/personal-banking/credit-cards
https://www.au.bank.in/pdf/credit-card/Schedule-of-Charges-CC.pdf</t>
        </is>
      </c>
      <c r="T179" s="2" t="inlineStr">
        <is>
          <t>KFS Version 1.8 last updated 2026-07-07; catalogue accessed 2026-09-09</t>
        </is>
      </c>
      <c r="U179" s="5" t="inlineStr">
        <is>
          <t>https://www.au.bank.in/personal-banking/credit-cards/prathama-credit-card</t>
        </is>
      </c>
      <c r="V179" s="2" t="inlineStr">
        <is>
          <t>Official issuer</t>
        </is>
      </c>
      <c r="W179" s="2" t="inlineStr">
        <is>
          <t>2026-09-09</t>
        </is>
      </c>
      <c r="X179" s="2" t="inlineStr">
        <is>
          <t>Second-pass reward/cashback research; populated only from located source material.</t>
        </is>
      </c>
    </row>
    <row r="180" ht="34" customHeight="1">
      <c r="A180" s="2" t="inlineStr">
        <is>
          <t>AU Small Finance Bank</t>
        </is>
      </c>
      <c r="B180" s="3" t="inlineStr">
        <is>
          <t>Selectable</t>
        </is>
      </c>
      <c r="C180" s="4" t="inlineStr">
        <is>
          <t>AU Bank LIT Credit Card</t>
        </is>
      </c>
      <c r="D180" s="4" t="inlineStr">
        <is>
          <t>1 Reward Point per ₹100 on eligible spends under the base configuration.</t>
        </is>
      </c>
      <c r="E180" s="4" t="inlineStr">
        <is>
          <t>Configurable 5X/10X reward and cashback features can be activated for eligible categories under LIT terms.</t>
        </is>
      </c>
      <c r="F180" s="4" t="inlineStr"/>
      <c r="G180" s="4" t="inlineStr">
        <is>
          <t>Configurable cashback/reward features are subject to feature-specific 30-day/statement caps.</t>
        </is>
      </c>
      <c r="H180" s="4" t="inlineStr"/>
      <c r="I180" s="4" t="inlineStr"/>
      <c r="J180" s="4" t="inlineStr"/>
      <c r="K180" s="4" t="inlineStr">
        <is>
          <t>Lifetime Free</t>
        </is>
      </c>
      <c r="L180" s="4" t="inlineStr">
        <is>
          <t>Lifetime Free</t>
        </is>
      </c>
      <c r="M180" s="4" t="inlineStr"/>
      <c r="N180" s="4" t="inlineStr">
        <is>
          <t>3.49%</t>
        </is>
      </c>
      <c r="O180" s="4" t="inlineStr"/>
      <c r="P180" s="4" t="inlineStr"/>
      <c r="Q180" s="4" t="inlineStr">
        <is>
          <t>Not applicable under current AU KFS.</t>
        </is>
      </c>
      <c r="R180" s="4" t="inlineStr">
        <is>
          <t>Customisable paid-benefit/features model under current LIT programme.</t>
        </is>
      </c>
      <c r="S180" s="5" t="inlineStr">
        <is>
          <t>https://www.au.bank.in/personal-banking/credit-cards
https://www.au.bank.in/pdf/credit-card/Schedule-of-Charges-CC.pdf</t>
        </is>
      </c>
      <c r="T180" s="2" t="inlineStr">
        <is>
          <t>KFS Version 1.8 last updated 2026-07-07; catalogue accessed 2026-09-09</t>
        </is>
      </c>
      <c r="U180" s="5" t="inlineStr">
        <is>
          <t>https://www.au.bank.in/lit-terms-and-conditions</t>
        </is>
      </c>
      <c r="V180" s="2" t="inlineStr">
        <is>
          <t>Official issuer</t>
        </is>
      </c>
      <c r="W180" s="2" t="inlineStr">
        <is>
          <t>2026-09-09</t>
        </is>
      </c>
      <c r="X180" s="2" t="inlineStr">
        <is>
          <t>Second-pass reward/cashback research; populated only from located source material.</t>
        </is>
      </c>
    </row>
    <row r="181" ht="34" customHeight="1">
      <c r="A181" s="2" t="inlineStr">
        <is>
          <t>AU Small Finance Bank</t>
        </is>
      </c>
      <c r="B181" s="3" t="inlineStr">
        <is>
          <t>Selectable</t>
        </is>
      </c>
      <c r="C181" s="4" t="inlineStr">
        <is>
          <t>AU Bank CA Metal Credit Card</t>
        </is>
      </c>
      <c r="D181" s="4" t="inlineStr">
        <is>
          <t>2 RP/₹100 on eligible retail spends.</t>
        </is>
      </c>
      <c r="E181" s="4" t="inlineStr">
        <is>
          <t>8 RP/₹100 on eligible dining, travel, tax and software categories; 1 RP/₹100 on eligible utility/telecom/insurance under current programme.</t>
        </is>
      </c>
      <c r="F181" s="4" t="inlineStr"/>
      <c r="G181" s="4" t="inlineStr">
        <is>
          <t>8X category cap 5,000 RP/statement; utility/telecom earn limited to 100 RP/transaction under current card terms.</t>
        </is>
      </c>
      <c r="H181" s="4" t="inlineStr"/>
      <c r="I181" s="4" t="inlineStr">
        <is>
          <t>Cash, rent, education, government, EMI, fuel, BBPS, quasi-cash excluded; transportation excluded from reward points effective 2026-04-01.</t>
        </is>
      </c>
      <c r="J181" s="4" t="inlineStr"/>
      <c r="K181" s="4" t="inlineStr">
        <is>
          <t>Lifetime Free</t>
        </is>
      </c>
      <c r="L181" s="4" t="inlineStr">
        <is>
          <t>Lifetime Free</t>
        </is>
      </c>
      <c r="M181" s="4" t="inlineStr"/>
      <c r="N181" s="4" t="inlineStr">
        <is>
          <t>1.99%</t>
        </is>
      </c>
      <c r="O181" s="4" t="inlineStr"/>
      <c r="P181" s="4" t="inlineStr"/>
      <c r="Q181" s="4" t="inlineStr">
        <is>
          <t>1% waiver on eligible fuel transactions ₹400–₹5,000; max ₹250 per statement month.</t>
        </is>
      </c>
      <c r="R181" s="4" t="inlineStr"/>
      <c r="S181" s="5" t="inlineStr">
        <is>
          <t>https://www.au.bank.in/personal-banking/credit-cards
https://www.au.bank.in/pdf/credit-card/Schedule-of-Charges-CC.pdf</t>
        </is>
      </c>
      <c r="T181" s="2" t="inlineStr">
        <is>
          <t>Current card terms accessed 2026-09-09; transportation exclusion effective 2026-04-01</t>
        </is>
      </c>
    </row>
    <row r="182" ht="34" customHeight="1">
      <c r="A182" s="2" t="inlineStr">
        <is>
          <t>AU Small Finance Bank</t>
        </is>
      </c>
      <c r="B182" s="3" t="inlineStr">
        <is>
          <t>Selectable</t>
        </is>
      </c>
      <c r="C182" s="4" t="inlineStr">
        <is>
          <t>AU Bank CS Credit Card</t>
        </is>
      </c>
      <c r="D182" s="4" t="inlineStr">
        <is>
          <t>No clearly disclosed general base earn rate located on current issuer pages.</t>
        </is>
      </c>
      <c r="E182" s="4" t="inlineStr">
        <is>
          <t>Credible current review material reports 8 Reward Points per ₹100 on selected business categories such as dining, travel, tax and software spends.</t>
        </is>
      </c>
      <c r="F182" s="4" t="inlineStr"/>
      <c r="G182" s="4" t="inlineStr"/>
      <c r="H182" s="4" t="inlineStr"/>
      <c r="I182" s="4" t="inlineStr"/>
      <c r="J182" s="4" t="inlineStr"/>
      <c r="K182" s="4" t="inlineStr">
        <is>
          <t>Lifetime Free</t>
        </is>
      </c>
      <c r="L182" s="4" t="inlineStr">
        <is>
          <t>Lifetime Free</t>
        </is>
      </c>
      <c r="M182" s="4" t="inlineStr"/>
      <c r="N182" s="4" t="inlineStr">
        <is>
          <t>1.99%</t>
        </is>
      </c>
      <c r="O182" s="4" t="inlineStr"/>
      <c r="P182" s="4" t="inlineStr"/>
      <c r="Q182" s="4" t="inlineStr">
        <is>
          <t>1% waiver on eligible fuel transactions ₹400–₹5,000; max ₹250 per statement month.</t>
        </is>
      </c>
      <c r="R182" s="4" t="inlineStr"/>
      <c r="S182" s="5" t="inlineStr">
        <is>
          <t>https://www.au.bank.in/personal-banking/credit-cards
https://www.au.bank.in/pdf/credit-card/Schedule-of-Charges-CC.pdf</t>
        </is>
      </c>
      <c r="T182" s="2" t="inlineStr">
        <is>
          <t>KFS Version 1.8 last updated 2026-07-07; catalogue accessed 2026-09-09</t>
        </is>
      </c>
      <c r="U182" s="5" t="inlineStr">
        <is>
          <t>https://cardadvisor.in/articles/au-cs-credit-card-review-2026</t>
        </is>
      </c>
      <c r="V182" s="2" t="inlineStr">
        <is>
          <t>Credible secondary</t>
        </is>
      </c>
      <c r="W182" s="2" t="inlineStr">
        <is>
          <t>2026-09-09</t>
        </is>
      </c>
      <c r="X182" s="2" t="inlineStr">
        <is>
          <t>Current AU premium catalogue confirms the product but does not surface the exact earn table in search-accessible text; accelerated rate sourced from a current specialist review.</t>
        </is>
      </c>
    </row>
    <row r="183" ht="34" customHeight="1">
      <c r="A183" s="2" t="inlineStr">
        <is>
          <t>AU Small Finance Bank</t>
        </is>
      </c>
      <c r="B183" s="3" t="inlineStr">
        <is>
          <t>Selectable</t>
        </is>
      </c>
      <c r="C183" s="4" t="inlineStr">
        <is>
          <t>AU Bank Vetta Credit Card</t>
        </is>
      </c>
      <c r="D183" s="4" t="inlineStr">
        <is>
          <t>2 Reward Points per ₹100 on eligible other retail spends; reduced earn applies to utility/telecom/insurance.</t>
        </is>
      </c>
      <c r="E183" s="4" t="inlineStr">
        <is>
          <t>4 Reward Points per ₹100 on eligible grocery and departmental-store spends.</t>
        </is>
      </c>
      <c r="F183" s="4" t="inlineStr"/>
      <c r="G183" s="4" t="inlineStr"/>
      <c r="H183" s="4" t="inlineStr"/>
      <c r="I183" s="4" t="inlineStr"/>
      <c r="J183" s="4" t="inlineStr"/>
      <c r="K183" s="4" t="inlineStr">
        <is>
          <t>₹2,999</t>
        </is>
      </c>
      <c r="L183" s="4" t="inlineStr">
        <is>
          <t>₹2,999</t>
        </is>
      </c>
      <c r="M183" s="4" t="inlineStr">
        <is>
          <t>Published renewal-fee waiver at ₹1.5 lakh annual spend, subject to current eligible-spend definition.</t>
        </is>
      </c>
      <c r="N183" s="4" t="inlineStr">
        <is>
          <t>2.99%</t>
        </is>
      </c>
      <c r="O183" s="4" t="inlineStr"/>
      <c r="P183" s="4" t="inlineStr"/>
      <c r="Q183" s="4" t="inlineStr">
        <is>
          <t>1% waiver on eligible fuel transactions ₹400–₹5,000; max ₹250 per statement month.</t>
        </is>
      </c>
      <c r="R183" s="4" t="inlineStr"/>
      <c r="S183" s="5" t="inlineStr">
        <is>
          <t>https://www.au.bank.in/personal-banking/credit-cards
https://www.au.bank.in/pdf/credit-card/Schedule-of-Charges-CC.pdf</t>
        </is>
      </c>
      <c r="T183" s="2" t="inlineStr">
        <is>
          <t>KFS Version 1.8 last updated 2026-07-07; catalogue accessed 2026-09-09</t>
        </is>
      </c>
      <c r="U183" s="5" t="inlineStr">
        <is>
          <t>https://www.au.bank.in/personal-banking/credit-cards/vetta-credit-card</t>
        </is>
      </c>
      <c r="V183" s="2" t="inlineStr">
        <is>
          <t>Official issuer</t>
        </is>
      </c>
      <c r="W183" s="2" t="inlineStr">
        <is>
          <t>2026-09-09</t>
        </is>
      </c>
      <c r="X183" s="2" t="inlineStr">
        <is>
          <t>Second-pass reward/cashback research; populated only from located source material.</t>
        </is>
      </c>
    </row>
    <row r="184" ht="34" customHeight="1">
      <c r="A184" s="2" t="inlineStr">
        <is>
          <t>AU Small Finance Bank</t>
        </is>
      </c>
      <c r="B184" s="3" t="inlineStr">
        <is>
          <t>Selectable</t>
        </is>
      </c>
      <c r="C184" s="4" t="inlineStr">
        <is>
          <t>AU Bank NOMO Credit Card</t>
        </is>
      </c>
      <c r="D184" s="4" t="inlineStr">
        <is>
          <t>2 Reward Points per ₹100 on eligible retail spends; 1 per ₹100 on selected utility/insurance spends.</t>
        </is>
      </c>
      <c r="E184" s="4" t="inlineStr"/>
      <c r="F184" s="4" t="inlineStr"/>
      <c r="G184" s="4" t="inlineStr">
        <is>
          <t>Current issuer agreement applies statement-cycle reward caps to this product.</t>
        </is>
      </c>
      <c r="H184" s="4" t="inlineStr"/>
      <c r="I184" s="4" t="inlineStr"/>
      <c r="J184" s="4" t="inlineStr"/>
      <c r="K184" s="4" t="inlineStr">
        <is>
          <t>₹199 one-time</t>
        </is>
      </c>
      <c r="L184" s="4" t="inlineStr">
        <is>
          <t>₹199 one-time</t>
        </is>
      </c>
      <c r="M184" s="4" t="inlineStr"/>
      <c r="N184" s="4" t="inlineStr">
        <is>
          <t>0.99%</t>
        </is>
      </c>
      <c r="O184" s="4" t="inlineStr"/>
      <c r="P184" s="4" t="inlineStr"/>
      <c r="Q184" s="4" t="inlineStr">
        <is>
          <t>1% waiver on eligible fuel transactions ₹400–₹5,000; max ₹100 per statement month.</t>
        </is>
      </c>
      <c r="R184" s="4" t="inlineStr"/>
      <c r="S184" s="5" t="inlineStr">
        <is>
          <t>https://www.au.bank.in/personal-banking/credit-cards
https://www.au.bank.in/pdf/credit-card/Schedule-of-Charges-CC.pdf</t>
        </is>
      </c>
      <c r="T184" s="2" t="inlineStr">
        <is>
          <t>KFS Version 1.8 last updated 2026-07-07; catalogue accessed 2026-09-09</t>
        </is>
      </c>
      <c r="U184" s="5" t="inlineStr">
        <is>
          <t>https://www.au.bank.in/personal-banking/credit-cards/nomo-credit-card</t>
        </is>
      </c>
      <c r="V184" s="2" t="inlineStr">
        <is>
          <t>Official issuer</t>
        </is>
      </c>
      <c r="W184" s="2" t="inlineStr">
        <is>
          <t>2026-09-09</t>
        </is>
      </c>
      <c r="X184" s="2" t="inlineStr">
        <is>
          <t>Second-pass reward/cashback research; populated only from located source material.</t>
        </is>
      </c>
    </row>
    <row r="185" ht="34" customHeight="1">
      <c r="A185" s="2" t="inlineStr">
        <is>
          <t>AU Small Finance Bank</t>
        </is>
      </c>
      <c r="B185" s="3" t="inlineStr">
        <is>
          <t>Selectable</t>
        </is>
      </c>
      <c r="C185" s="4" t="inlineStr">
        <is>
          <t>AU Bank Xcite Ultra Credit Card</t>
        </is>
      </c>
      <c r="D185" s="4" t="inlineStr">
        <is>
          <t>4 Reward Points per ₹100 on eligible offline spends.</t>
        </is>
      </c>
      <c r="E185" s="4" t="inlineStr">
        <is>
          <t>8 Reward Points per ₹100 on eligible online spends and 12 per ₹100 on eligible international spends; additional early-cycle bonus applies under product terms.</t>
        </is>
      </c>
      <c r="F185" s="4" t="inlineStr"/>
      <c r="G185" s="4" t="inlineStr"/>
      <c r="H185" s="4" t="inlineStr"/>
      <c r="I185" s="4" t="inlineStr"/>
      <c r="J185" s="4" t="inlineStr"/>
      <c r="K185" s="4" t="inlineStr">
        <is>
          <t>₹749</t>
        </is>
      </c>
      <c r="L185" s="4" t="inlineStr">
        <is>
          <t>₹749</t>
        </is>
      </c>
      <c r="M185" s="4" t="inlineStr">
        <is>
          <t>Published renewal-fee waiver at ₹2 lakh annual spend, subject to current eligible-spend definition.</t>
        </is>
      </c>
      <c r="N185" s="4" t="inlineStr">
        <is>
          <t>3.49%</t>
        </is>
      </c>
      <c r="O185" s="4" t="inlineStr"/>
      <c r="P185" s="4" t="inlineStr"/>
      <c r="Q185" s="4" t="inlineStr">
        <is>
          <t>1% waiver on eligible fuel transactions ₹400–₹5,000; max ₹200 per statement month.</t>
        </is>
      </c>
      <c r="R185" s="4" t="inlineStr"/>
      <c r="S185" s="5" t="inlineStr">
        <is>
          <t>https://www.au.bank.in/personal-banking/credit-cards
https://www.au.bank.in/pdf/credit-card/Schedule-of-Charges-CC.pdf</t>
        </is>
      </c>
      <c r="T185" s="2" t="inlineStr">
        <is>
          <t>KFS Version 1.8 last updated 2026-07-07; catalogue accessed 2026-09-09</t>
        </is>
      </c>
      <c r="U185" s="5" t="inlineStr">
        <is>
          <t>https://www.au.bank.in/tnc/2024/cc-xcite-ultra-product-features.pdf</t>
        </is>
      </c>
      <c r="V185" s="2" t="inlineStr">
        <is>
          <t>Official issuer</t>
        </is>
      </c>
      <c r="W185" s="2" t="inlineStr">
        <is>
          <t>2026-09-09</t>
        </is>
      </c>
      <c r="X185" s="2" t="inlineStr">
        <is>
          <t>Second-pass reward/cashback research; populated only from located source material.</t>
        </is>
      </c>
    </row>
    <row r="186" ht="34" customHeight="1">
      <c r="A186" s="2" t="inlineStr">
        <is>
          <t>AU Small Finance Bank</t>
        </is>
      </c>
      <c r="B186" s="3" t="inlineStr">
        <is>
          <t>Selectable</t>
        </is>
      </c>
      <c r="C186" s="4" t="inlineStr">
        <is>
          <t>AU Bank Xcite Ace Credit Card</t>
        </is>
      </c>
      <c r="D186" s="4" t="inlineStr">
        <is>
          <t>Milestone cashback proposition rather than fixed universal cashback.</t>
        </is>
      </c>
      <c r="E186" s="4" t="inlineStr">
        <is>
          <t>Current specialist review reports 1% cashback after ₹7,500 eligible monthly spend, 2% after ₹12,500 and 3% after ₹20,000.</t>
        </is>
      </c>
      <c r="F186" s="4" t="inlineStr"/>
      <c r="G186" s="4" t="inlineStr">
        <is>
          <t>Cashback capped at approximately ₹600 per statement cycle under the reviewed 2026 proposition.</t>
        </is>
      </c>
      <c r="H186" s="4" t="inlineStr"/>
      <c r="I186" s="4" t="inlineStr"/>
      <c r="J186" s="4" t="inlineStr"/>
      <c r="K186" s="4" t="inlineStr">
        <is>
          <t>₹749</t>
        </is>
      </c>
      <c r="L186" s="4" t="inlineStr">
        <is>
          <t>₹749</t>
        </is>
      </c>
      <c r="M186" s="4" t="inlineStr">
        <is>
          <t>Published renewal-fee waiver at ₹2 lakh annual spend, subject to current eligible-spend definition.</t>
        </is>
      </c>
      <c r="N186" s="4" t="inlineStr">
        <is>
          <t>3.49%</t>
        </is>
      </c>
      <c r="O186" s="4" t="inlineStr"/>
      <c r="P186" s="4" t="inlineStr"/>
      <c r="Q186" s="4" t="inlineStr">
        <is>
          <t>1% waiver on eligible fuel transactions ₹400–₹5,000; max ₹200 per statement month.</t>
        </is>
      </c>
      <c r="R186" s="4" t="inlineStr"/>
      <c r="S186" s="5" t="inlineStr">
        <is>
          <t>https://www.au.bank.in/personal-banking/credit-cards
https://www.au.bank.in/pdf/credit-card/Schedule-of-Charges-CC.pdf</t>
        </is>
      </c>
      <c r="T186" s="2" t="inlineStr">
        <is>
          <t>KFS Version 1.8 last updated 2026-07-07; catalogue accessed 2026-09-09</t>
        </is>
      </c>
      <c r="U186" s="5" t="inlineStr">
        <is>
          <t>https://cardadvisor.in/articles/au-xcite-ace-credit-card-review-2026</t>
        </is>
      </c>
      <c r="V186" s="2" t="inlineStr">
        <is>
          <t>Credible secondary</t>
        </is>
      </c>
      <c r="W186" s="2" t="inlineStr">
        <is>
          <t>2026-09-09</t>
        </is>
      </c>
      <c r="X186" s="2" t="inlineStr">
        <is>
          <t>Issuer live page states up to 3% milestone cashback but does not expose the full tier table in search-accessible text; tier thresholds sourced from current specialist review.</t>
        </is>
      </c>
    </row>
    <row r="187" ht="34" customHeight="1">
      <c r="A187" s="2" t="inlineStr">
        <is>
          <t>AU Small Finance Bank</t>
        </is>
      </c>
      <c r="B187" s="3" t="inlineStr">
        <is>
          <t>Selectable</t>
        </is>
      </c>
      <c r="C187" s="4" t="inlineStr">
        <is>
          <t>AU Bank Xcite Credit Card</t>
        </is>
      </c>
      <c r="D187" s="4" t="inlineStr">
        <is>
          <t>3 Reward Points per ₹100 on eligible general spends, per current specialist/issuer-linked reward table.</t>
        </is>
      </c>
      <c r="E187" s="4" t="inlineStr">
        <is>
          <t>15 Reward Points per ₹100 on selected dining, movies, grocery and departmental-store spends; reduced earn applies to utility/telecom/insurance and early-cycle multipliers may apply.</t>
        </is>
      </c>
      <c r="F187" s="4" t="inlineStr"/>
      <c r="G187" s="4" t="inlineStr"/>
      <c r="H187" s="4" t="inlineStr"/>
      <c r="I187" s="4" t="inlineStr"/>
      <c r="J187" s="4" t="inlineStr"/>
      <c r="K187" s="4" t="inlineStr">
        <is>
          <t>₹249</t>
        </is>
      </c>
      <c r="L187" s="4" t="inlineStr">
        <is>
          <t>₹249</t>
        </is>
      </c>
      <c r="M187" s="4" t="inlineStr">
        <is>
          <t>Published renewal-fee waiver at ₹1 lakh annual spend, subject to current eligible-spend definition.</t>
        </is>
      </c>
      <c r="N187" s="4" t="inlineStr">
        <is>
          <t>3.49%</t>
        </is>
      </c>
      <c r="O187" s="4" t="inlineStr"/>
      <c r="P187" s="4" t="inlineStr"/>
      <c r="Q187" s="4" t="inlineStr">
        <is>
          <t>1% waiver on eligible fuel transactions ₹400–₹5,000; max ₹200 per statement month.</t>
        </is>
      </c>
      <c r="R187" s="4" t="inlineStr"/>
      <c r="S187" s="5" t="inlineStr">
        <is>
          <t>https://www.au.bank.in/personal-banking/credit-cards
https://www.au.bank.in/pdf/credit-card/Schedule-of-Charges-CC.pdf</t>
        </is>
      </c>
      <c r="T187" s="2" t="inlineStr">
        <is>
          <t>KFS Version 1.8 last updated 2026-07-07; catalogue accessed 2026-09-09</t>
        </is>
      </c>
      <c r="U187" s="5" t="inlineStr">
        <is>
          <t>https://9cards.in/credit-cards/au-xcite</t>
        </is>
      </c>
      <c r="V187" s="2" t="inlineStr">
        <is>
          <t>Credible secondary</t>
        </is>
      </c>
      <c r="W187" s="2" t="inlineStr">
        <is>
          <t>2026-09-09</t>
        </is>
      </c>
      <c r="X187" s="2" t="inlineStr">
        <is>
          <t>Current specialist source cites issuer product/MITC data; live AU catalogue confirms the card but search-accessible text did not expose the full table.</t>
        </is>
      </c>
    </row>
    <row r="188" ht="34" customHeight="1">
      <c r="A188" s="2" t="inlineStr">
        <is>
          <t>AU Small Finance Bank</t>
        </is>
      </c>
      <c r="B188" s="3" t="inlineStr">
        <is>
          <t>Selectable</t>
        </is>
      </c>
      <c r="C188" s="4" t="inlineStr">
        <is>
          <t>AU Bank Traverse NRI Credit Card</t>
        </is>
      </c>
      <c r="D188" s="4" t="inlineStr">
        <is>
          <t>Issuer confirms reward points on eligible domestic/international spends and other payments, but the live page does not expose an exact universal earn rate.</t>
        </is>
      </c>
      <c r="E188" s="4" t="inlineStr">
        <is>
          <t>Accelerated reward points apply on international and domestic spends under the premium Traverse proposition.</t>
        </is>
      </c>
      <c r="F188" s="4" t="inlineStr"/>
      <c r="G188" s="4" t="inlineStr"/>
      <c r="H188" s="4" t="inlineStr"/>
      <c r="I188" s="4" t="inlineStr"/>
      <c r="J188" s="4" t="inlineStr"/>
      <c r="K188" s="4" t="inlineStr">
        <is>
          <t>₹4,999</t>
        </is>
      </c>
      <c r="L188" s="4" t="inlineStr">
        <is>
          <t>₹4,999</t>
        </is>
      </c>
      <c r="M188" s="4" t="inlineStr">
        <is>
          <t>Published renewal-fee waiver at ₹6 lakh annual spend, subject to current eligible-spend definition.</t>
        </is>
      </c>
      <c r="N188" s="4" t="inlineStr">
        <is>
          <t>0.99%</t>
        </is>
      </c>
      <c r="O188" s="4" t="inlineStr"/>
      <c r="P188" s="4" t="inlineStr"/>
      <c r="Q188" s="4" t="inlineStr">
        <is>
          <t>1% waiver on eligible fuel transactions ₹400–₹5,000; max ₹250 per statement month.</t>
        </is>
      </c>
      <c r="R188" s="4" t="inlineStr"/>
      <c r="S188" s="5" t="inlineStr">
        <is>
          <t>https://www.au.bank.in/personal-banking/credit-cards
https://www.au.bank.in/pdf/credit-card/Schedule-of-Charges-CC.pdf</t>
        </is>
      </c>
      <c r="T188" s="2" t="inlineStr">
        <is>
          <t>KFS Version 1.8 last updated 2026-07-07; catalogue accessed 2026-09-09</t>
        </is>
      </c>
      <c r="U188" s="5" t="inlineStr">
        <is>
          <t>https://www.au.bank.in/premium-banking/credit-cards/traverse-credit-card</t>
        </is>
      </c>
      <c r="V188" s="2" t="inlineStr">
        <is>
          <t>Official issuer</t>
        </is>
      </c>
      <c r="W188" s="2" t="inlineStr">
        <is>
          <t>2026-09-09</t>
        </is>
      </c>
      <c r="X188" s="2" t="inlineStr">
        <is>
          <t>Exact numeric earn table not visible on the current public page; no rate inferred.</t>
        </is>
      </c>
    </row>
    <row r="189" ht="34" customHeight="1">
      <c r="A189" s="2" t="inlineStr">
        <is>
          <t>AU Small Finance Bank</t>
        </is>
      </c>
      <c r="B189" s="3" t="inlineStr">
        <is>
          <t>Selectable</t>
        </is>
      </c>
      <c r="C189" s="4" t="inlineStr">
        <is>
          <t>AU Bank InstaPay RuPay Credit Card</t>
        </is>
      </c>
      <c r="D189" s="4" t="inlineStr">
        <is>
          <t>1% cashback on eligible UPI spends in specified categories such as department stores, dining, pharmacy, grocery and supermarkets.</t>
        </is>
      </c>
      <c r="E189" s="4" t="inlineStr"/>
      <c r="F189" s="4" t="inlineStr"/>
      <c r="G189" s="4" t="inlineStr">
        <is>
          <t>Cashback capped at ₹100 per statement cycle under current product terms.</t>
        </is>
      </c>
      <c r="H189" s="4" t="inlineStr">
        <is>
          <t>₹200 minimum eligible transaction.</t>
        </is>
      </c>
      <c r="I189" s="4" t="inlineStr"/>
      <c r="J189" s="4" t="inlineStr"/>
      <c r="K189" s="4" t="inlineStr">
        <is>
          <t>Lifetime Free</t>
        </is>
      </c>
      <c r="L189" s="4" t="inlineStr">
        <is>
          <t>Lifetime Free</t>
        </is>
      </c>
      <c r="M189" s="4" t="inlineStr"/>
      <c r="N189" s="4" t="inlineStr"/>
      <c r="O189" s="4" t="inlineStr"/>
      <c r="P189" s="4" t="inlineStr"/>
      <c r="Q189" s="4" t="inlineStr"/>
      <c r="R189" s="4" t="inlineStr"/>
      <c r="S189" s="5" t="inlineStr">
        <is>
          <t>https://www.au.bank.in/personal-banking/credit-cards
https://www.au.bank.in/pdf/credit-card/Schedule-of-Charges-CC.pdf</t>
        </is>
      </c>
      <c r="T189" s="2" t="inlineStr">
        <is>
          <t>KFS Version 1.8 last updated 2026-07-07; catalogue accessed 2026-09-09</t>
        </is>
      </c>
      <c r="U189" s="5" t="inlineStr">
        <is>
          <t>https://www.au.bank.in/personal-banking/credit-cards/instapay-credit-card</t>
        </is>
      </c>
      <c r="V189" s="2" t="inlineStr">
        <is>
          <t>Official issuer</t>
        </is>
      </c>
      <c r="W189" s="2" t="inlineStr">
        <is>
          <t>2026-09-09</t>
        </is>
      </c>
      <c r="X189" s="2" t="inlineStr">
        <is>
          <t>Second-pass reward/cashback research; populated only from located source material.</t>
        </is>
      </c>
    </row>
    <row r="190" ht="34" customHeight="1">
      <c r="A190" s="2" t="inlineStr">
        <is>
          <t>AU Small Finance Bank</t>
        </is>
      </c>
      <c r="B190" s="3" t="inlineStr">
        <is>
          <t>Selectable</t>
        </is>
      </c>
      <c r="C190" s="4" t="inlineStr">
        <is>
          <t>AU Bank Kosmo Credit Card</t>
        </is>
      </c>
      <c r="D190" s="4" t="inlineStr">
        <is>
          <t>Issuer confirms rewards on eligible UPI Scan &amp; Pay and card spends but an exact current base rate was not surfaced in search-accessible issuer text.</t>
        </is>
      </c>
      <c r="E190" s="4" t="inlineStr">
        <is>
          <t>Rewards apply on eligible UPI Scan &amp; Pay through the associated Kiwi flow as well as e-commerce/POS/contactless spends.</t>
        </is>
      </c>
      <c r="F190" s="4" t="inlineStr"/>
      <c r="G190" s="4" t="inlineStr"/>
      <c r="H190" s="4" t="inlineStr"/>
      <c r="I190" s="4" t="inlineStr"/>
      <c r="J190" s="4" t="inlineStr"/>
      <c r="K190" s="4" t="inlineStr">
        <is>
          <t>Lifetime Free</t>
        </is>
      </c>
      <c r="L190" s="4" t="inlineStr">
        <is>
          <t>Lifetime Free</t>
        </is>
      </c>
      <c r="M190" s="4" t="inlineStr"/>
      <c r="N190" s="4" t="inlineStr">
        <is>
          <t>3.49%</t>
        </is>
      </c>
      <c r="O190" s="4" t="inlineStr"/>
      <c r="P190" s="4" t="inlineStr"/>
      <c r="Q190" s="4" t="inlineStr">
        <is>
          <t>1% waiver on eligible fuel transactions ₹400–₹5,000; max ₹100 per statement month.</t>
        </is>
      </c>
      <c r="R190" s="4" t="inlineStr"/>
      <c r="S190" s="5" t="inlineStr">
        <is>
          <t>https://www.au.bank.in/personal-banking/credit-cards
https://www.au.bank.in/pdf/credit-card/Schedule-of-Charges-CC.pdf</t>
        </is>
      </c>
      <c r="T190" s="2" t="inlineStr">
        <is>
          <t>KFS Version 1.8 last updated 2026-07-07; catalogue accessed 2026-09-09</t>
        </is>
      </c>
      <c r="U190" s="5" t="inlineStr">
        <is>
          <t>https://www.au.bank.in/personal-banking/credit-cards/kosmo-credit-card</t>
        </is>
      </c>
      <c r="V190" s="2" t="inlineStr">
        <is>
          <t>Official issuer</t>
        </is>
      </c>
      <c r="W190" s="2" t="inlineStr">
        <is>
          <t>2026-09-09</t>
        </is>
      </c>
      <c r="X190" s="2" t="inlineStr">
        <is>
          <t>Exact numeric rate not populated because the current issuer page did not expose it in accessible text.</t>
        </is>
      </c>
    </row>
    <row r="191" ht="34" customHeight="1">
      <c r="A191" s="2" t="inlineStr">
        <is>
          <t>AU Small Finance Bank</t>
        </is>
      </c>
      <c r="B191" s="3" t="inlineStr">
        <is>
          <t>Selectable</t>
        </is>
      </c>
      <c r="C191" s="4" t="inlineStr">
        <is>
          <t>AU Bank Zaggle Credit Card</t>
        </is>
      </c>
      <c r="D191" s="4" t="inlineStr">
        <is>
          <t>No simple general base rate prominently disclosed on the surfaced issuer page.</t>
        </is>
      </c>
      <c r="E191" s="4" t="inlineStr">
        <is>
          <t>Up to 8% Zagg Coins/reward value on eligible zagg.money UPI/tap-and-pay transactions, subject to current co-brand terms.</t>
        </is>
      </c>
      <c r="F191" s="4" t="inlineStr"/>
      <c r="G191" s="4" t="inlineStr"/>
      <c r="H191" s="4" t="inlineStr"/>
      <c r="I191" s="4" t="inlineStr"/>
      <c r="J191" s="4" t="inlineStr"/>
      <c r="K191" s="4" t="inlineStr">
        <is>
          <t>Lifetime Free</t>
        </is>
      </c>
      <c r="L191" s="4" t="inlineStr">
        <is>
          <t>Lifetime Free</t>
        </is>
      </c>
      <c r="M191" s="4" t="inlineStr"/>
      <c r="N191" s="4" t="inlineStr">
        <is>
          <t>3.49%</t>
        </is>
      </c>
      <c r="O191" s="4" t="inlineStr"/>
      <c r="P191" s="4" t="inlineStr"/>
      <c r="Q191" s="4" t="inlineStr">
        <is>
          <t>1% waiver on eligible fuel transactions ₹400–₹5,000; max ₹100 per statement month.</t>
        </is>
      </c>
      <c r="R191" s="4" t="inlineStr"/>
      <c r="S191" s="5" t="inlineStr">
        <is>
          <t>https://www.au.bank.in/personal-banking/credit-cards
https://www.au.bank.in/pdf/credit-card/Schedule-of-Charges-CC.pdf</t>
        </is>
      </c>
      <c r="T191" s="2" t="inlineStr">
        <is>
          <t>KFS Version 1.8 last updated 2026-07-07; catalogue accessed 2026-09-09</t>
        </is>
      </c>
      <c r="U191" s="5" t="inlineStr">
        <is>
          <t>https://www.au.bank.in/personal-banking/credit-cards/au-zaggle-credit-card</t>
        </is>
      </c>
      <c r="V191" s="2" t="inlineStr">
        <is>
          <t>Official issuer</t>
        </is>
      </c>
      <c r="W191" s="2" t="inlineStr">
        <is>
          <t>2026-09-09</t>
        </is>
      </c>
      <c r="X191" s="2" t="inlineStr">
        <is>
          <t>Second-pass reward/cashback research; populated only from located source material.</t>
        </is>
      </c>
    </row>
    <row r="192" ht="34" customHeight="1">
      <c r="A192" s="2" t="inlineStr">
        <is>
          <t>AU Small Finance Bank</t>
        </is>
      </c>
      <c r="B192" s="3" t="inlineStr">
        <is>
          <t>Selectable</t>
        </is>
      </c>
      <c r="C192" s="4" t="inlineStr">
        <is>
          <t>CheQ AU Bank Credit Card</t>
        </is>
      </c>
      <c r="D192" s="4" t="inlineStr">
        <is>
          <t>1% CheQ Points on eligible spends.</t>
        </is>
      </c>
      <c r="E192" s="4" t="inlineStr">
        <is>
          <t>2.5% on eligible CheQ UPI spends, 5% on selected accelerated categories and up to 12% on specified partner/utility flows through CheQ, subject to terms.</t>
        </is>
      </c>
      <c r="F192" s="4" t="inlineStr"/>
      <c r="G192" s="4" t="inlineStr">
        <is>
          <t>CheQ reward earn capped at the published monthly limit (12,000 CheQ Points/month in cited terms).</t>
        </is>
      </c>
      <c r="H192" s="4" t="inlineStr">
        <is>
          <t>₹200 minimum eligible transaction where specified.</t>
        </is>
      </c>
      <c r="I192" s="4" t="inlineStr"/>
      <c r="J192" s="4" t="inlineStr"/>
      <c r="K192" s="4" t="inlineStr">
        <is>
          <t>Lifetime Free; ₹999 + GST one-time only for LED card</t>
        </is>
      </c>
      <c r="L192" s="4" t="inlineStr">
        <is>
          <t>Lifetime Free</t>
        </is>
      </c>
      <c r="M192" s="4" t="inlineStr"/>
      <c r="N192" s="4" t="inlineStr">
        <is>
          <t>3.49%</t>
        </is>
      </c>
      <c r="O192" s="4" t="inlineStr"/>
      <c r="P192" s="4" t="inlineStr"/>
      <c r="Q192" s="4" t="inlineStr">
        <is>
          <t>1% waiver on eligible fuel transactions ₹500–₹5,000; max ₹150 per statement month.</t>
        </is>
      </c>
      <c r="R192" s="4" t="inlineStr"/>
      <c r="S192" s="5" t="inlineStr">
        <is>
          <t>https://www.au.bank.in/personal-banking/credit-cards
https://www.au.bank.in/pdf/credit-card/Schedule-of-Charges-CC.pdf</t>
        </is>
      </c>
      <c r="T192" s="2" t="inlineStr">
        <is>
          <t>KFS Version 1.8 last updated 2026-07-07; catalogue accessed 2026-09-09</t>
        </is>
      </c>
      <c r="U192" s="5" t="inlineStr">
        <is>
          <t>https://www.au.bank.in/pdf/credit-card/CheQ-Rewards-TnC.pdf</t>
        </is>
      </c>
      <c r="V192" s="2" t="inlineStr">
        <is>
          <t>Official issuer</t>
        </is>
      </c>
      <c r="W192" s="2" t="inlineStr">
        <is>
          <t>2026-09-09</t>
        </is>
      </c>
      <c r="X192" s="2" t="inlineStr">
        <is>
          <t>Second-pass reward/cashback research; populated only from located source material.</t>
        </is>
      </c>
    </row>
    <row r="193" ht="34" customHeight="1">
      <c r="A193" s="2" t="inlineStr">
        <is>
          <t>AU Small Finance Bank</t>
        </is>
      </c>
      <c r="B193" s="3" t="inlineStr">
        <is>
          <t>Selectable</t>
        </is>
      </c>
      <c r="C193" s="4" t="inlineStr">
        <is>
          <t>Paytm AU Bank Credit Card</t>
        </is>
      </c>
      <c r="D193" s="4" t="inlineStr">
        <is>
          <t>General base earn rate not clearly disclosed in the surfaced issuer text.</t>
        </is>
      </c>
      <c r="E193" s="4" t="inlineStr">
        <is>
          <t>Up to 2% reward value on eligible Paytm UPI spends and up to 5% on eligible Paytm app spends.</t>
        </is>
      </c>
      <c r="F193" s="4" t="inlineStr">
        <is>
          <t>Issuer proposition indicates 1 Reward Point = up to ₹1 for selected Paytm Gold redemption and lower value on other routes.</t>
        </is>
      </c>
      <c r="G193" s="4" t="inlineStr"/>
      <c r="H193" s="4" t="inlineStr"/>
      <c r="I193" s="4" t="inlineStr"/>
      <c r="J193" s="4" t="inlineStr"/>
      <c r="K193" s="4" t="inlineStr">
        <is>
          <t>Lifetime Free</t>
        </is>
      </c>
      <c r="L193" s="4" t="inlineStr">
        <is>
          <t>Lifetime Free</t>
        </is>
      </c>
      <c r="M193" s="4" t="inlineStr"/>
      <c r="N193" s="4" t="inlineStr">
        <is>
          <t>3.49%</t>
        </is>
      </c>
      <c r="O193" s="4" t="inlineStr"/>
      <c r="P193" s="4" t="inlineStr"/>
      <c r="Q193" s="4" t="inlineStr">
        <is>
          <t>1% waiver on eligible fuel transactions ₹400–₹5,000; max ₹100 per statement month.</t>
        </is>
      </c>
      <c r="R193" s="4" t="inlineStr"/>
      <c r="S193" s="5" t="inlineStr">
        <is>
          <t>https://www.au.bank.in/personal-banking/credit-cards
https://www.au.bank.in/pdf/credit-card/Schedule-of-Charges-CC.pdf</t>
        </is>
      </c>
      <c r="T193" s="2" t="inlineStr">
        <is>
          <t>KFS Version 1.8 last updated 2026-07-07; catalogue accessed 2026-09-09</t>
        </is>
      </c>
      <c r="U193" s="5" t="inlineStr">
        <is>
          <t>https://www.au.bank.in/personal-banking/credit-cards/paytm-au-credit-card</t>
        </is>
      </c>
      <c r="V193" s="2" t="inlineStr">
        <is>
          <t>Official issuer</t>
        </is>
      </c>
      <c r="W193" s="2" t="inlineStr">
        <is>
          <t>2026-09-09</t>
        </is>
      </c>
      <c r="X193" s="2" t="inlineStr">
        <is>
          <t>Second-pass reward/cashback research; populated only from located source material.</t>
        </is>
      </c>
    </row>
    <row r="194" ht="34" customHeight="1">
      <c r="A194" s="2" t="inlineStr">
        <is>
          <t>AU Small Finance Bank</t>
        </is>
      </c>
      <c r="B194" s="3" t="inlineStr">
        <is>
          <t>Selectable</t>
        </is>
      </c>
      <c r="C194" s="4" t="inlineStr">
        <is>
          <t>AU Bank Zenith Credit Card</t>
        </is>
      </c>
      <c r="D194" s="4" t="inlineStr">
        <is>
          <t>3 Reward Points per ₹100 on eligible retail spends.</t>
        </is>
      </c>
      <c r="E194" s="4" t="inlineStr">
        <is>
          <t>5 Reward Points per ₹100 on eligible restaurant, international, grocery and departmental-store spends.</t>
        </is>
      </c>
      <c r="F194" s="4" t="inlineStr"/>
      <c r="G194" s="4" t="inlineStr">
        <is>
          <t>Dining accelerated rewards capped at 5,000 Reward Points per statement cycle under current agreement.</t>
        </is>
      </c>
      <c r="H194" s="4" t="inlineStr"/>
      <c r="I194" s="4" t="inlineStr"/>
      <c r="J194" s="4" t="inlineStr"/>
      <c r="K194" s="4" t="inlineStr">
        <is>
          <t>₹7,999</t>
        </is>
      </c>
      <c r="L194" s="4" t="inlineStr">
        <is>
          <t>₹7,999</t>
        </is>
      </c>
      <c r="M194" s="4" t="inlineStr">
        <is>
          <t>Published renewal-fee waiver at ₹5 lakh annual spend, subject to current eligible-spend definition.</t>
        </is>
      </c>
      <c r="N194" s="4" t="inlineStr">
        <is>
          <t>1.99%</t>
        </is>
      </c>
      <c r="O194" s="4" t="inlineStr"/>
      <c r="P194" s="4" t="inlineStr"/>
      <c r="Q194" s="4" t="inlineStr">
        <is>
          <t>1% waiver on eligible fuel transactions ₹400–₹5,000; max ₹1,000 per statement month.</t>
        </is>
      </c>
      <c r="R194" s="4" t="inlineStr"/>
      <c r="S194" s="5" t="inlineStr">
        <is>
          <t>https://www.au.bank.in/personal-banking/credit-cards
https://www.au.bank.in/pdf/credit-card/Schedule-of-Charges-CC.pdf</t>
        </is>
      </c>
      <c r="T194" s="2" t="inlineStr">
        <is>
          <t>KFS Version 1.8 last updated 2026-07-07; catalogue accessed 2026-09-09</t>
        </is>
      </c>
      <c r="U194" s="5" t="inlineStr">
        <is>
          <t>https://www.au.bank.in/personal-banking/credit-cards/zenith-credit-card</t>
        </is>
      </c>
      <c r="V194" s="2" t="inlineStr">
        <is>
          <t>Official issuer</t>
        </is>
      </c>
      <c r="W194" s="2" t="inlineStr">
        <is>
          <t>2026-09-09</t>
        </is>
      </c>
      <c r="X194" s="2" t="inlineStr">
        <is>
          <t>Second-pass reward/cashback research; populated only from located source material.</t>
        </is>
      </c>
    </row>
    <row r="195" ht="34" customHeight="1">
      <c r="A195" s="2" t="inlineStr">
        <is>
          <t>AU Small Finance Bank</t>
        </is>
      </c>
      <c r="B195" s="3" t="inlineStr">
        <is>
          <t>Selectable</t>
        </is>
      </c>
      <c r="C195" s="4" t="inlineStr">
        <is>
          <t>AU Bank Altura Plus Credit Card</t>
        </is>
      </c>
      <c r="D195" s="4" t="inlineStr">
        <is>
          <t>1.5% cashback on eligible offline spends up to the card-specific cap, then reward-point earn applies; eligible online spends earn Reward Points.</t>
        </is>
      </c>
      <c r="E195" s="4" t="inlineStr">
        <is>
          <t>2 Reward Points per ₹100 on eligible online spends; milestone bonus of 500 Reward Points on qualifying monthly spend.</t>
        </is>
      </c>
      <c r="F195" s="4" t="inlineStr"/>
      <c r="G195" s="4" t="inlineStr"/>
      <c r="H195" s="4" t="inlineStr"/>
      <c r="I195" s="4" t="inlineStr"/>
      <c r="J195" s="4" t="inlineStr"/>
      <c r="K195" s="4" t="inlineStr">
        <is>
          <t>₹499</t>
        </is>
      </c>
      <c r="L195" s="4" t="inlineStr">
        <is>
          <t>₹499</t>
        </is>
      </c>
      <c r="M195" s="4" t="inlineStr">
        <is>
          <t>Published renewal-fee waiver at ₹80,000 annual spend, subject to current eligible-spend definition.</t>
        </is>
      </c>
      <c r="N195" s="4" t="inlineStr">
        <is>
          <t>3.49%</t>
        </is>
      </c>
      <c r="O195" s="4" t="inlineStr"/>
      <c r="P195" s="4" t="inlineStr"/>
      <c r="Q195" s="4" t="inlineStr">
        <is>
          <t>1% waiver on eligible fuel transactions ₹400–₹5,000; max ₹150 per statement month.</t>
        </is>
      </c>
      <c r="R195" s="4" t="inlineStr"/>
      <c r="S195" s="5" t="inlineStr">
        <is>
          <t>https://www.au.bank.in/personal-banking/credit-cards
https://www.au.bank.in/pdf/credit-card/Schedule-of-Charges-CC.pdf</t>
        </is>
      </c>
      <c r="T195" s="2" t="inlineStr">
        <is>
          <t>KFS Version 1.8 last updated 2026-07-07; catalogue accessed 2026-09-09</t>
        </is>
      </c>
      <c r="U195" s="5" t="inlineStr">
        <is>
          <t>https://www.au.bank.in/personal-banking/credit-cards/altura-plus-credit-card</t>
        </is>
      </c>
      <c r="V195" s="2" t="inlineStr">
        <is>
          <t>Official issuer</t>
        </is>
      </c>
      <c r="W195" s="2" t="inlineStr">
        <is>
          <t>2026-09-09</t>
        </is>
      </c>
      <c r="X195" s="2" t="inlineStr">
        <is>
          <t>Second-pass reward/cashback research; populated only from located source material.</t>
        </is>
      </c>
    </row>
    <row r="196" ht="34" customHeight="1">
      <c r="A196" s="2" t="inlineStr">
        <is>
          <t>AU Small Finance Bank</t>
        </is>
      </c>
      <c r="B196" s="3" t="inlineStr">
        <is>
          <t>Selectable</t>
        </is>
      </c>
      <c r="C196" s="4" t="inlineStr">
        <is>
          <t>AU Bank Altura Credit Card</t>
        </is>
      </c>
      <c r="D196" s="4" t="inlineStr">
        <is>
          <t>1% cashback on eligible other retail spends.</t>
        </is>
      </c>
      <c r="E196" s="4" t="inlineStr">
        <is>
          <t>2% cashback on eligible grocery, departmental-store and utility spends.</t>
        </is>
      </c>
      <c r="F196" s="4" t="inlineStr"/>
      <c r="G196" s="4" t="inlineStr"/>
      <c r="H196" s="4" t="inlineStr"/>
      <c r="I196" s="4" t="inlineStr"/>
      <c r="J196" s="4" t="inlineStr"/>
      <c r="K196" s="4" t="inlineStr">
        <is>
          <t>₹199</t>
        </is>
      </c>
      <c r="L196" s="4" t="inlineStr">
        <is>
          <t>₹199</t>
        </is>
      </c>
      <c r="M196" s="4" t="inlineStr">
        <is>
          <t>Published renewal-fee waiver at ₹40,000 annual spend, subject to current eligible-spend definition.</t>
        </is>
      </c>
      <c r="N196" s="4" t="inlineStr">
        <is>
          <t>3.49%</t>
        </is>
      </c>
      <c r="O196" s="4" t="inlineStr"/>
      <c r="P196" s="4" t="inlineStr"/>
      <c r="Q196" s="4" t="inlineStr">
        <is>
          <t>1% waiver on eligible fuel transactions ₹400–₹5,000; max ₹100 per statement month.</t>
        </is>
      </c>
      <c r="R196" s="4" t="inlineStr"/>
      <c r="S196" s="5" t="inlineStr">
        <is>
          <t>https://www.au.bank.in/personal-banking/credit-cards
https://www.au.bank.in/pdf/credit-card/Schedule-of-Charges-CC.pdf</t>
        </is>
      </c>
      <c r="T196" s="2" t="inlineStr">
        <is>
          <t>KFS Version 1.8 last updated 2026-07-07; catalogue accessed 2026-09-09</t>
        </is>
      </c>
      <c r="U196" s="5" t="inlineStr">
        <is>
          <t>https://www.au.bank.in/personal-banking/credit-cards/altura-credit-card</t>
        </is>
      </c>
      <c r="V196" s="2" t="inlineStr">
        <is>
          <t>Official issuer</t>
        </is>
      </c>
      <c r="W196" s="2" t="inlineStr">
        <is>
          <t>2026-09-09</t>
        </is>
      </c>
      <c r="X196" s="2" t="inlineStr">
        <is>
          <t>Second-pass reward/cashback research; populated only from located source material.</t>
        </is>
      </c>
    </row>
    <row r="197" ht="58" customHeight="1">
      <c r="A197" s="2" t="inlineStr">
        <is>
          <t>YES BANK</t>
        </is>
      </c>
      <c r="B197" s="3" t="inlineStr">
        <is>
          <t>Selectable</t>
        </is>
      </c>
      <c r="C197" s="4" t="inlineStr">
        <is>
          <t>YES BANK MARQUEE Credit Card</t>
        </is>
      </c>
      <c r="D197" s="4" t="inlineStr">
        <is>
          <t>18 YES Rewardz Points/₹200 on eligible offline shopping under published programme.</t>
        </is>
      </c>
      <c r="E197" s="4" t="inlineStr">
        <is>
          <t>36 YES Rewardz Points/₹200 on eligible online shopping; 10 RP/₹200 on specified select categories.</t>
        </is>
      </c>
      <c r="F197" s="4" t="inlineStr">
        <is>
          <t>Up to ₹0.25/RP depending redemption channel under current value chart/programme.</t>
        </is>
      </c>
      <c r="G197" s="4" t="inlineStr">
        <is>
          <t>Published reward cap 100,000 RP/statement cycle under current programme.</t>
        </is>
      </c>
      <c r="H197" s="4" t="inlineStr"/>
      <c r="I197" s="4" t="inlineStr">
        <is>
          <t>No rewards on rent, wallet, fuel, cash/fees and specified EMI categories; current exclusions also include government/marketing-advertising and, effective 2026-06-15, insurance, education, railways, toll &amp; ferry where stated.</t>
        </is>
      </c>
      <c r="J197" s="4" t="inlineStr"/>
      <c r="K197" s="4" t="inlineStr">
        <is>
          <t>₹9,999 + GST</t>
        </is>
      </c>
      <c r="L197" s="4" t="inlineStr">
        <is>
          <t>₹4,999 + GST</t>
        </is>
      </c>
      <c r="M197" s="4" t="inlineStr">
        <is>
          <t>Renewal fee waiver at ₹10 lakh eligible annual spend.</t>
        </is>
      </c>
      <c r="N197" s="4" t="inlineStr">
        <is>
          <t>1%</t>
        </is>
      </c>
      <c r="O197" s="4" t="inlineStr">
        <is>
          <t>6 domestic lounge visits/quarter; unlimited international lounge access under current programme.</t>
        </is>
      </c>
      <c r="P197" s="4" t="inlineStr">
        <is>
          <t>40,000 YES Rewardz Points on joining-fee realisation; 20,000 RP on renewal-fee realisation under published terms.</t>
        </is>
      </c>
      <c r="Q197" s="4" t="inlineStr">
        <is>
          <t>Published 1% fuel-surcharge waiver/value proposition subject to current card terms.</t>
        </is>
      </c>
      <c r="R197" s="4" t="inlineStr">
        <is>
          <t>ET Prime, BookMyShow and golf/purchase-protection benefits under current programme.</t>
        </is>
      </c>
      <c r="S197" s="5" t="inlineStr">
        <is>
          <t>https://www.yes.bank.in/personal-banking/yes-individual/cards/credit-cards
https://www.yesbank.in/content/published/api/v1.1/assets/CONT07A77C257C7A4BDD85DB97E51D2B5B8F/native/yesbank_key_fact_statement.pdf?channelToken=21f7ccfa2fc3401091938f541a6f8f2a&amp;download=false</t>
        </is>
      </c>
      <c r="T197" s="2" t="inlineStr">
        <is>
          <t>Current page accessed 2026-09-09; reward exclusions updated/effective 2026-06-15 where stated</t>
        </is>
      </c>
    </row>
    <row r="198" ht="70" customHeight="1">
      <c r="A198" s="2" t="inlineStr">
        <is>
          <t>YES BANK</t>
        </is>
      </c>
      <c r="B198" s="3" t="inlineStr">
        <is>
          <t>Selectable</t>
        </is>
      </c>
      <c r="C198" s="4" t="inlineStr">
        <is>
          <t>YES BANK RESERV Credit Card</t>
        </is>
      </c>
      <c r="D198" s="4" t="inlineStr">
        <is>
          <t>12 YES Rewardz Points/₹200 on eligible offline shopping; 6 RP/₹200 on specified select categories.</t>
        </is>
      </c>
      <c r="E198" s="4" t="inlineStr">
        <is>
          <t>24 YES Rewardz Points/₹200 on eligible online shopping.</t>
        </is>
      </c>
      <c r="F198" s="4" t="inlineStr"/>
      <c r="G198" s="4" t="inlineStr"/>
      <c r="H198" s="4" t="inlineStr"/>
      <c r="I198" s="4" t="inlineStr">
        <is>
          <t>Effective 2026-06-15, no rewards on rent, wallet, fuel, UPI, government, marketing/advertising, cash withdrawals, specified EMI, insurance, education, railways, toll &amp; ferry. Published MCC examples include rent 6513, wallet 6540, fuel 5172/5541/5542/5983/9752 and government/marketing MCC lists.</t>
        </is>
      </c>
      <c r="J198" s="4" t="inlineStr"/>
      <c r="K198" s="4" t="inlineStr">
        <is>
          <t>₹2,499 + GST</t>
        </is>
      </c>
      <c r="L198" s="4" t="inlineStr">
        <is>
          <t>₹2,499 + GST</t>
        </is>
      </c>
      <c r="M198" s="4" t="inlineStr">
        <is>
          <t>First-year fee waived on ₹40,000 retail spend within 30 days; renewal waived on ₹3 lakh eligible spend in prior 12 months.</t>
        </is>
      </c>
      <c r="N198" s="4" t="inlineStr">
        <is>
          <t>2%</t>
        </is>
      </c>
      <c r="O198" s="4" t="inlineStr">
        <is>
          <t>3 domestic lounge visits/quarter and 6 international lounge visits/year under current programme.</t>
        </is>
      </c>
      <c r="P198" s="4" t="inlineStr"/>
      <c r="Q198" s="4" t="inlineStr"/>
      <c r="R198" s="4" t="inlineStr">
        <is>
          <t>25% BookMyShow discount under current programme.</t>
        </is>
      </c>
      <c r="S198" s="5" t="inlineStr">
        <is>
          <t>https://www.yes.bank.in/personal-banking/cards/credit-card/reserv-credit-card
https://www.yes.bank.in/personal-banking/yes-individual/cards/credit-cards
https://www.yesbank.in/content/published/api/v1.1/assets/CONT07A77C257C7A4BDD85DB97E51D2B5B8F/native/yesbank_key_fact_statement.pdf?channelToken=21f7ccfa2fc3401091938f541a6f8f2a&amp;download=false</t>
        </is>
      </c>
      <c r="T198" s="2" t="inlineStr">
        <is>
          <t>Current product page accessed 2026-09-09; reward exclusions effective 2026-06-15</t>
        </is>
      </c>
    </row>
    <row r="199" ht="58" customHeight="1">
      <c r="A199" s="2" t="inlineStr">
        <is>
          <t>YES BANK</t>
        </is>
      </c>
      <c r="B199" s="3" t="inlineStr">
        <is>
          <t>Selectable</t>
        </is>
      </c>
      <c r="C199" s="4" t="inlineStr">
        <is>
          <t>YES BANK ACE Credit Card</t>
        </is>
      </c>
      <c r="D199" s="4" t="inlineStr">
        <is>
          <t>4 YES Rewardz Points per ₹200 on eligible offline spends; selected categories can earn a reduced rate.</t>
        </is>
      </c>
      <c r="E199" s="4" t="inlineStr">
        <is>
          <t>8 YES Rewardz Points per ₹200 on eligible online spends.</t>
        </is>
      </c>
      <c r="F199" s="4" t="inlineStr"/>
      <c r="G199" s="4" t="inlineStr"/>
      <c r="H199" s="4" t="inlineStr"/>
      <c r="I199" s="4" t="inlineStr"/>
      <c r="J199" s="4" t="inlineStr"/>
      <c r="K199" s="4" t="inlineStr">
        <is>
          <t>₹499 + GST</t>
        </is>
      </c>
      <c r="L199" s="4" t="inlineStr">
        <is>
          <t>₹499 + GST</t>
        </is>
      </c>
      <c r="M199" s="4" t="inlineStr">
        <is>
          <t>Published first-year fee waiver after ₹5,000 eligible spend within 30 days; renewal waiver at ₹50,000 eligible annual spend.</t>
        </is>
      </c>
      <c r="N199" s="4" t="inlineStr"/>
      <c r="O199" s="4" t="inlineStr">
        <is>
          <t>1 domestic lounge visit/calendar quarter under current catalogue.</t>
        </is>
      </c>
      <c r="P199" s="4" t="inlineStr"/>
      <c r="Q199" s="4" t="inlineStr"/>
      <c r="R199" s="4" t="inlineStr">
        <is>
          <t>Current catalogue advertises BOGO movie/coffee benefits.</t>
        </is>
      </c>
      <c r="S199" s="5" t="inlineStr">
        <is>
          <t>https://www.yes.bank.in/personal-banking/yes-individual/cards/credit-cards
https://www.yesbank.in/content/published/api/v1.1/assets/CONT07A77C257C7A4BDD85DB97E51D2B5B8F/native/yesbank_key_fact_statement.pdf?channelToken=21f7ccfa2fc3401091938f541a6f8f2a&amp;download=false</t>
        </is>
      </c>
      <c r="T199" s="2" t="inlineStr">
        <is>
          <t>Current official catalogue/KFS accessed 2026-09-09</t>
        </is>
      </c>
      <c r="U199" s="5" t="inlineStr">
        <is>
          <t>https://www.yes.bank.in/personal-banking/yes-individual/cards/credit-cards</t>
        </is>
      </c>
      <c r="V199" s="2" t="inlineStr">
        <is>
          <t>Official issuer</t>
        </is>
      </c>
      <c r="W199" s="2" t="inlineStr">
        <is>
          <t>2026-09-09</t>
        </is>
      </c>
      <c r="X199" s="2" t="inlineStr">
        <is>
          <t>Second-pass reward/cashback research; populated only from located source material.</t>
        </is>
      </c>
    </row>
    <row r="200" ht="58" customHeight="1">
      <c r="A200" s="2" t="inlineStr">
        <is>
          <t>YES BANK</t>
        </is>
      </c>
      <c r="B200" s="3" t="inlineStr">
        <is>
          <t>Selectable</t>
        </is>
      </c>
      <c r="C200" s="4" t="inlineStr">
        <is>
          <t>YES ELITE+ Credit Card</t>
        </is>
      </c>
      <c r="D200" s="4" t="inlineStr"/>
      <c r="E200" s="4" t="inlineStr">
        <is>
          <t>Current catalogue advertises 12 YES Reward Points/₹200 on eligible online purchases.</t>
        </is>
      </c>
      <c r="F200" s="4" t="inlineStr"/>
      <c r="G200" s="4" t="inlineStr"/>
      <c r="H200" s="4" t="inlineStr"/>
      <c r="I200" s="4" t="inlineStr"/>
      <c r="J200" s="4" t="inlineStr"/>
      <c r="K200" s="4" t="inlineStr">
        <is>
          <t>₹999 + GST</t>
        </is>
      </c>
      <c r="L200" s="4" t="inlineStr">
        <is>
          <t>₹999 + GST</t>
        </is>
      </c>
      <c r="M200" s="4" t="inlineStr">
        <is>
          <t>First-year fee waiver after ₹20,000 eligible spend within 30 days; renewal waiver at ₹2 lakh eligible annual spend under published KFS/current catalogue.</t>
        </is>
      </c>
      <c r="N200" s="4" t="inlineStr"/>
      <c r="O200" s="4" t="inlineStr">
        <is>
          <t>2 domestic lounge visits/quarter and 3 international visits/year under current catalogue.</t>
        </is>
      </c>
      <c r="P200" s="4" t="inlineStr"/>
      <c r="Q200" s="4" t="inlineStr"/>
      <c r="R200" s="4" t="inlineStr">
        <is>
          <t>BookMyShow discount benefit under current programme.</t>
        </is>
      </c>
      <c r="S200" s="5" t="inlineStr">
        <is>
          <t>https://www.yes.bank.in/personal-banking/yes-individual/cards/credit-cards
https://www.yesbank.in/content/published/api/v1.1/assets/CONT07A77C257C7A4BDD85DB97E51D2B5B8F/native/yesbank_key_fact_statement.pdf?channelToken=21f7ccfa2fc3401091938f541a6f8f2a&amp;download=false</t>
        </is>
      </c>
      <c r="T200" s="2" t="inlineStr">
        <is>
          <t>Current official catalogue/KFS accessed 2026-09-09</t>
        </is>
      </c>
    </row>
    <row r="201" ht="58" customHeight="1">
      <c r="A201" s="2" t="inlineStr">
        <is>
          <t>YES BANK</t>
        </is>
      </c>
      <c r="B201" s="3" t="inlineStr">
        <is>
          <t>Selectable</t>
        </is>
      </c>
      <c r="C201" s="4" t="inlineStr">
        <is>
          <t>YES SELECT Credit Card</t>
        </is>
      </c>
      <c r="D201" s="4" t="inlineStr">
        <is>
          <t>4 YES Rewardz Points per ₹200 on eligible offline spends; selected categories can earn a reduced rate.</t>
        </is>
      </c>
      <c r="E201" s="4" t="inlineStr">
        <is>
          <t>8 YES Rewardz Points per ₹200 on eligible online spends.</t>
        </is>
      </c>
      <c r="F201" s="4" t="inlineStr"/>
      <c r="G201" s="4" t="inlineStr"/>
      <c r="H201" s="4" t="inlineStr"/>
      <c r="I201" s="4" t="inlineStr"/>
      <c r="J201" s="4" t="inlineStr"/>
      <c r="K201" s="4" t="inlineStr">
        <is>
          <t>₹599 + GST</t>
        </is>
      </c>
      <c r="L201" s="4" t="inlineStr">
        <is>
          <t>₹599 + GST</t>
        </is>
      </c>
      <c r="M201" s="4" t="inlineStr">
        <is>
          <t>First-year fee waiver after ₹10,000 eligible spend within 30 days; renewal waiver at ₹1 lakh eligible annual spend under published KFS.</t>
        </is>
      </c>
      <c r="N201" s="4" t="inlineStr"/>
      <c r="O201" s="4" t="inlineStr">
        <is>
          <t>Published lounge entitlement under current card programme; current issuer lounge programme identifies 1 domestic visit/quarter.</t>
        </is>
      </c>
      <c r="P201" s="4" t="inlineStr"/>
      <c r="Q201" s="4" t="inlineStr"/>
      <c r="R201" s="4" t="inlineStr"/>
      <c r="S201" s="5" t="inlineStr">
        <is>
          <t>https://www.yes.bank.in/personal-banking/yes-individual/cards/credit-cards
https://www.yesbank.in/content/published/api/v1.1/assets/CONT07A77C257C7A4BDD85DB97E51D2B5B8F/native/yesbank_key_fact_statement.pdf?channelToken=21f7ccfa2fc3401091938f541a6f8f2a&amp;download=false</t>
        </is>
      </c>
      <c r="T201" s="2" t="inlineStr">
        <is>
          <t>Current official catalogue/KFS accessed 2026-09-09</t>
        </is>
      </c>
      <c r="U201" s="5" t="inlineStr">
        <is>
          <t>https://www.yes.bank.in/personal-banking/yes-individual/cards/credit-cards/select-credit-card</t>
        </is>
      </c>
      <c r="V201" s="2" t="inlineStr">
        <is>
          <t>Official issuer</t>
        </is>
      </c>
      <c r="W201" s="2" t="inlineStr">
        <is>
          <t>2026-09-09</t>
        </is>
      </c>
      <c r="X201" s="2" t="inlineStr">
        <is>
          <t>Second-pass reward/cashback research; populated only from located source material.</t>
        </is>
      </c>
    </row>
    <row r="202" ht="22" customHeight="1">
      <c r="A202" s="2" t="inlineStr">
        <is>
          <t>YES BANK</t>
        </is>
      </c>
      <c r="B202" s="3" t="inlineStr">
        <is>
          <t>Selectable</t>
        </is>
      </c>
      <c r="C202" s="4" t="inlineStr">
        <is>
          <t>YES FinBooster Credit Card</t>
        </is>
      </c>
      <c r="D202" s="4" t="inlineStr">
        <is>
          <t>2 YES Rewardz Points per ₹200 on eligible other retail spends.</t>
        </is>
      </c>
      <c r="E202" s="4" t="inlineStr">
        <is>
          <t>10 points per ₹200 on eligible online dining and 6 per ₹200 on eligible online grocery/apparel spends.</t>
        </is>
      </c>
      <c r="F202" s="4" t="inlineStr"/>
      <c r="G202" s="4" t="inlineStr"/>
      <c r="H202" s="4" t="inlineStr"/>
      <c r="I202" s="4" t="inlineStr"/>
      <c r="J202" s="4" t="inlineStr"/>
      <c r="K202" s="4" t="inlineStr">
        <is>
          <t>Nil</t>
        </is>
      </c>
      <c r="L202" s="4" t="inlineStr">
        <is>
          <t>Nil</t>
        </is>
      </c>
      <c r="M202" s="4" t="inlineStr"/>
      <c r="N202" s="4" t="inlineStr"/>
      <c r="O202" s="4" t="inlineStr"/>
      <c r="P202" s="4" t="inlineStr"/>
      <c r="Q202" s="4" t="inlineStr"/>
      <c r="R202" s="4" t="inlineStr"/>
      <c r="S202" s="5" t="inlineStr">
        <is>
          <t>https://www.yes.bank.in/personal-banking/yes-individual/cards/credit-cards</t>
        </is>
      </c>
      <c r="T202" s="2" t="inlineStr">
        <is>
          <t>Current/legacy issuer MITC accessed 2026-09-09</t>
        </is>
      </c>
      <c r="U202" s="5" t="inlineStr">
        <is>
          <t>https://www.yes.bank.in/personal-banking/yes-individual/cards/credit-cards</t>
        </is>
      </c>
      <c r="V202" s="2" t="inlineStr">
        <is>
          <t>Official issuer</t>
        </is>
      </c>
      <c r="W202" s="2" t="inlineStr">
        <is>
          <t>2026-09-09</t>
        </is>
      </c>
      <c r="X202" s="2" t="inlineStr">
        <is>
          <t>Second-pass reward/cashback research; populated only from located source material.</t>
        </is>
      </c>
    </row>
    <row r="203" ht="58" customHeight="1">
      <c r="A203" s="2" t="inlineStr">
        <is>
          <t>YES BANK</t>
        </is>
      </c>
      <c r="B203" s="3" t="inlineStr">
        <is>
          <t>Selectable</t>
        </is>
      </c>
      <c r="C203" s="4" t="inlineStr">
        <is>
          <t>YES RuPay Credit Card</t>
        </is>
      </c>
      <c r="D203" s="4" t="inlineStr">
        <is>
          <t>2 YES Rewardz Points per ₹200 on eligible non-UPI spends.</t>
        </is>
      </c>
      <c r="E203" s="4" t="inlineStr">
        <is>
          <t>4 YES Rewardz Points per ₹200 on eligible UPI transactions above ₹2,000, subject to current terms.</t>
        </is>
      </c>
      <c r="F203" s="4" t="inlineStr"/>
      <c r="G203" s="4" t="inlineStr"/>
      <c r="H203" s="4" t="inlineStr"/>
      <c r="I203" s="4" t="inlineStr"/>
      <c r="J203" s="4" t="inlineStr"/>
      <c r="K203" s="4" t="inlineStr">
        <is>
          <t>Nil</t>
        </is>
      </c>
      <c r="L203" s="4" t="inlineStr">
        <is>
          <t>Nil</t>
        </is>
      </c>
      <c r="M203" s="4" t="inlineStr"/>
      <c r="N203" s="4" t="inlineStr"/>
      <c r="O203" s="4" t="inlineStr"/>
      <c r="P203" s="4" t="inlineStr"/>
      <c r="Q203" s="4" t="inlineStr"/>
      <c r="R203" s="4" t="inlineStr"/>
      <c r="S203" s="5" t="inlineStr">
        <is>
          <t>https://www.yes.bank.in/personal-banking/yes-individual/cards/credit-cards
https://www.yesbank.in/content/published/api/v1.1/assets/CONT07A77C257C7A4BDD85DB97E51D2B5B8F/native/yesbank_key_fact_statement.pdf?channelToken=21f7ccfa2fc3401091938f541a6f8f2a&amp;download=false</t>
        </is>
      </c>
      <c r="T203" s="2" t="inlineStr">
        <is>
          <t>Current official KFS accessed 2026-09-09</t>
        </is>
      </c>
      <c r="U203" s="5" t="inlineStr">
        <is>
          <t>https://www.yes.bank.in/personal-banking/yes-individual/cards/credit-cards</t>
        </is>
      </c>
      <c r="V203" s="2" t="inlineStr">
        <is>
          <t>Official issuer</t>
        </is>
      </c>
      <c r="W203" s="2" t="inlineStr">
        <is>
          <t>2026-09-09</t>
        </is>
      </c>
      <c r="X203" s="2" t="inlineStr">
        <is>
          <t>Second-pass reward/cashback research; populated only from located source material.</t>
        </is>
      </c>
    </row>
    <row r="204" ht="46" customHeight="1">
      <c r="A204" s="2" t="inlineStr">
        <is>
          <t>YES BANK</t>
        </is>
      </c>
      <c r="B204" s="3" t="inlineStr">
        <is>
          <t>Selectable</t>
        </is>
      </c>
      <c r="C204" s="4" t="inlineStr">
        <is>
          <t>YES EMI Credit Card</t>
        </is>
      </c>
      <c r="D204" s="4" t="inlineStr">
        <is>
          <t>1% cashback on eligible transactions that are not auto-converted to EMI, under the current card proposition.</t>
        </is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>
        <is>
          <t>₹499 + GST</t>
        </is>
      </c>
      <c r="L204" s="4" t="inlineStr">
        <is>
          <t>₹499 + GST</t>
        </is>
      </c>
      <c r="M204" s="4" t="inlineStr">
        <is>
          <t>Renewal-waiver threshold published at ₹1.2 lakh eligible annual spend in issuer terms.</t>
        </is>
      </c>
      <c r="N204" s="4" t="inlineStr"/>
      <c r="O204" s="4" t="inlineStr"/>
      <c r="P204" s="4" t="inlineStr"/>
      <c r="Q204" s="4" t="inlineStr"/>
      <c r="R204" s="4" t="inlineStr"/>
      <c r="S204" s="5" t="inlineStr">
        <is>
          <t>https://www.yesbank.in/content/published/api/v1.1/assets/CONT07A77C257C7A4BDD85DB97E51D2B5B8F/native/yesbank_key_fact_statement.pdf?channelToken=21f7ccfa2fc3401091938f541a6f8f2a&amp;download=false</t>
        </is>
      </c>
      <c r="T204" s="2" t="inlineStr">
        <is>
          <t>Official KFS/issuer terms accessed 2026-09-09</t>
        </is>
      </c>
      <c r="U204" s="5" t="inlineStr">
        <is>
          <t>https://www.yes.bank.in/personal-banking/yes-individual/cards/credit-cards</t>
        </is>
      </c>
      <c r="V204" s="2" t="inlineStr">
        <is>
          <t>Official issuer</t>
        </is>
      </c>
      <c r="W204" s="2" t="inlineStr">
        <is>
          <t>2026-09-09</t>
        </is>
      </c>
      <c r="X204" s="2" t="inlineStr">
        <is>
          <t>Second-pass reward/cashback research; populated only from located source material.</t>
        </is>
      </c>
    </row>
    <row r="205" ht="46" customHeight="1">
      <c r="A205" s="2" t="inlineStr">
        <is>
          <t>YES BANK</t>
        </is>
      </c>
      <c r="B205" s="3" t="inlineStr">
        <is>
          <t>Selectable</t>
        </is>
      </c>
      <c r="C205" s="4" t="inlineStr">
        <is>
          <t>YES Wellness Credit Card</t>
        </is>
      </c>
      <c r="D205" s="4" t="inlineStr">
        <is>
          <t>4 YES Rewardz Points per ₹200 on eligible other spends.</t>
        </is>
      </c>
      <c r="E205" s="4" t="inlineStr">
        <is>
          <t>20 YES Rewardz Points per ₹200 on eligible pharmacy spends under the legacy/current Wellness proposition.</t>
        </is>
      </c>
      <c r="F205" s="4" t="inlineStr"/>
      <c r="G205" s="4" t="inlineStr"/>
      <c r="H205" s="4" t="inlineStr"/>
      <c r="I205" s="4" t="inlineStr"/>
      <c r="J205" s="4" t="inlineStr"/>
      <c r="K205" s="4" t="inlineStr">
        <is>
          <t>₹499 + GST</t>
        </is>
      </c>
      <c r="L205" s="4" t="inlineStr">
        <is>
          <t>₹499 + GST</t>
        </is>
      </c>
      <c r="M205" s="4" t="inlineStr">
        <is>
          <t>No fee-waiver condition populated from current KFS.</t>
        </is>
      </c>
      <c r="N205" s="4" t="inlineStr"/>
      <c r="O205" s="4" t="inlineStr"/>
      <c r="P205" s="4" t="inlineStr"/>
      <c r="Q205" s="4" t="inlineStr"/>
      <c r="R205" s="4" t="inlineStr"/>
      <c r="S205" s="5" t="inlineStr">
        <is>
          <t>https://www.yesbank.in/content/published/api/v1.1/assets/CONT07A77C257C7A4BDD85DB97E51D2B5B8F/native/yesbank_key_fact_statement.pdf?channelToken=21f7ccfa2fc3401091938f541a6f8f2a&amp;download=false</t>
        </is>
      </c>
      <c r="T205" s="2" t="inlineStr">
        <is>
          <t>Official KFS accessed 2026-09-09</t>
        </is>
      </c>
      <c r="U205" s="5" t="inlineStr">
        <is>
          <t>https://www.paisabazaar.com/yes-bank/wellness-credit-card/</t>
        </is>
      </c>
      <c r="V205" s="2" t="inlineStr">
        <is>
          <t>Credible secondary</t>
        </is>
      </c>
      <c r="W205" s="2" t="inlineStr">
        <is>
          <t>2026-09-09</t>
        </is>
      </c>
      <c r="X205" s="2" t="inlineStr">
        <is>
          <t>Issuer KFS confirms the product; detailed earn table was recovered from a current card comparison source.</t>
        </is>
      </c>
    </row>
    <row r="206" ht="46" customHeight="1">
      <c r="A206" s="2" t="inlineStr">
        <is>
          <t>YES BANK</t>
        </is>
      </c>
      <c r="B206" s="3" t="inlineStr">
        <is>
          <t>Selectable</t>
        </is>
      </c>
      <c r="C206" s="4" t="inlineStr">
        <is>
          <t>YES Wellness Plus Credit Card</t>
        </is>
      </c>
      <c r="D206" s="4" t="inlineStr">
        <is>
          <t>6 YES Rewardz Points per ₹200 on eligible other spends.</t>
        </is>
      </c>
      <c r="E206" s="4" t="inlineStr">
        <is>
          <t>30 YES Rewardz Points per ₹200 on eligible pharmacy spends.</t>
        </is>
      </c>
      <c r="F206" s="4" t="inlineStr"/>
      <c r="G206" s="4" t="inlineStr"/>
      <c r="H206" s="4" t="inlineStr"/>
      <c r="I206" s="4" t="inlineStr"/>
      <c r="J206" s="4" t="inlineStr"/>
      <c r="K206" s="4" t="inlineStr">
        <is>
          <t>₹1,499 + GST</t>
        </is>
      </c>
      <c r="L206" s="4" t="inlineStr">
        <is>
          <t>₹1,499 + GST</t>
        </is>
      </c>
      <c r="M206" s="4" t="inlineStr"/>
      <c r="N206" s="4" t="inlineStr"/>
      <c r="O206" s="4" t="inlineStr">
        <is>
          <t>Current issuer lounge programme identifies 2 domestic lounge visits/quarter for Wellness Plus, subject to conditions.</t>
        </is>
      </c>
      <c r="P206" s="4" t="inlineStr"/>
      <c r="Q206" s="4" t="inlineStr"/>
      <c r="R206" s="4" t="inlineStr"/>
      <c r="S206" s="5" t="inlineStr">
        <is>
          <t>https://www.yesbank.in/content/published/api/v1.1/assets/CONT07A77C257C7A4BDD85DB97E51D2B5B8F/native/yesbank_key_fact_statement.pdf?channelToken=21f7ccfa2fc3401091938f541a6f8f2a&amp;download=false</t>
        </is>
      </c>
      <c r="T206" s="2" t="inlineStr">
        <is>
          <t>Official KFS/issuer programme accessed 2026-09-09</t>
        </is>
      </c>
      <c r="U206" s="5" t="inlineStr">
        <is>
          <t>https://www.yes.bank.in/personal-banking/yes-individual/cards/credit-cards/wellness-plus-cards</t>
        </is>
      </c>
      <c r="V206" s="2" t="inlineStr">
        <is>
          <t>Official issuer</t>
        </is>
      </c>
      <c r="W206" s="2" t="inlineStr">
        <is>
          <t>2026-09-09</t>
        </is>
      </c>
      <c r="X206" s="2" t="inlineStr">
        <is>
          <t>Second-pass reward/cashback research; populated only from located source material.</t>
        </is>
      </c>
    </row>
    <row r="207" ht="46" customHeight="1">
      <c r="A207" s="2" t="inlineStr">
        <is>
          <t>YES BANK</t>
        </is>
      </c>
      <c r="B207" s="3" t="inlineStr">
        <is>
          <t>Selectable</t>
        </is>
      </c>
      <c r="C207" s="4" t="inlineStr">
        <is>
          <t>YES BYOC Credit Card</t>
        </is>
      </c>
      <c r="D207" s="4" t="inlineStr">
        <is>
          <t>Choose either 1% cashback on eligible retail spends or 8 YES Rewardz Points per ₹200 under the selectable reward mode.</t>
        </is>
      </c>
      <c r="E207" s="4" t="inlineStr">
        <is>
          <t>Selected subscription/merchant benefits can provide 10% cashback, subject to per-merchant caps.</t>
        </is>
      </c>
      <c r="F207" s="4" t="inlineStr"/>
      <c r="G207" s="4" t="inlineStr">
        <is>
          <t>Cashback mode capped at ₹1,000 per statement cycle under published BYOC terms; merchant subscription caps also apply.</t>
        </is>
      </c>
      <c r="H207" s="4" t="inlineStr"/>
      <c r="I207" s="4" t="inlineStr"/>
      <c r="J207" s="4" t="inlineStr"/>
      <c r="K207" s="4" t="inlineStr">
        <is>
          <t>Regular card Nil; Eco Friendly ₹249; Metal ₹3,499 one-time card fee.</t>
        </is>
      </c>
      <c r="L207" s="4" t="inlineStr">
        <is>
          <t>Plan/subscription based rather than a conventional annual card fee: cashback plan ₹99/month; rewards plan ₹49/month; optional Silver/Gold/Platinum subscription ₹99/₹149/₹249 per month.</t>
        </is>
      </c>
      <c r="M207" s="4" t="inlineStr"/>
      <c r="N207" s="4" t="inlineStr"/>
      <c r="O207" s="4" t="inlineStr"/>
      <c r="P207" s="4" t="inlineStr"/>
      <c r="Q207" s="4" t="inlineStr"/>
      <c r="R207" s="4" t="inlineStr"/>
      <c r="S207" s="5" t="inlineStr">
        <is>
          <t>https://www.yesbank.in/content/published/api/v1.1/assets/CONT07A77C257C7A4BDD85DB97E51D2B5B8F/native/yesbank_key_fact_statement.pdf?channelToken=21f7ccfa2fc3401091938f541a6f8f2a&amp;download=false</t>
        </is>
      </c>
      <c r="T207" s="2" t="inlineStr">
        <is>
          <t>Official KFS accessed 2026-09-09</t>
        </is>
      </c>
      <c r="U207" s="5" t="inlineStr">
        <is>
          <t>https://www.yesbank.in/content/published/api/v1.1/assets/CONTE8D52EF526B44370B731A2D4237736CE/native/yesbank_byoc_mitc.pdf</t>
        </is>
      </c>
      <c r="V207" s="2" t="inlineStr">
        <is>
          <t>Official issuer</t>
        </is>
      </c>
      <c r="W207" s="2" t="inlineStr">
        <is>
          <t>2026-09-09</t>
        </is>
      </c>
      <c r="X207" s="2" t="inlineStr">
        <is>
          <t>Second-pass reward/cashback research; populated only from located source material.</t>
        </is>
      </c>
    </row>
    <row r="208" ht="34" customHeight="1">
      <c r="A208" s="2" t="inlineStr">
        <is>
          <t>YES BANK</t>
        </is>
      </c>
      <c r="B208" s="3" t="inlineStr">
        <is>
          <t>Selectable</t>
        </is>
      </c>
      <c r="C208" s="4" t="inlineStr">
        <is>
          <t>Paisabazaar PaisaSave YES BANK Credit Card</t>
        </is>
      </c>
      <c r="D208" s="4" t="inlineStr">
        <is>
          <t>1% reward value on eligible general spends (2 Reward Points per ₹200).</t>
        </is>
      </c>
      <c r="E208" s="4" t="inlineStr">
        <is>
          <t>6% reward value on eligible dining and travel spends (12 Reward Points per ₹200).</t>
        </is>
      </c>
      <c r="F208" s="4" t="inlineStr">
        <is>
          <t>1 Reward Point = ₹1 for eligible statement-credit redemption under the co-brand proposition.</t>
        </is>
      </c>
      <c r="G208" s="4" t="inlineStr">
        <is>
          <t>Accelerated rewards capped at 3,000 points per statement cycle.</t>
        </is>
      </c>
      <c r="H208" s="4" t="inlineStr"/>
      <c r="I208" s="4" t="inlineStr"/>
      <c r="J208" s="4" t="inlineStr"/>
      <c r="K208" s="4" t="inlineStr">
        <is>
          <t>Nil</t>
        </is>
      </c>
      <c r="L208" s="4" t="inlineStr">
        <is>
          <t>₹499</t>
        </is>
      </c>
      <c r="M208" s="4" t="inlineStr">
        <is>
          <t>Published renewal-fee waiver at ₹1.2 lakh eligible annual spend for the fee-bearing variant.</t>
        </is>
      </c>
      <c r="N208" s="4" t="inlineStr"/>
      <c r="O208" s="4" t="inlineStr"/>
      <c r="P208" s="4" t="inlineStr"/>
      <c r="Q208" s="4" t="inlineStr"/>
      <c r="R208" s="4" t="inlineStr"/>
      <c r="S208" s="5" t="inlineStr">
        <is>
          <t>https://www.yes.bank.in/personal-banking/yes-individual/cards/credit-cards</t>
        </is>
      </c>
      <c r="T208" s="2" t="inlineStr">
        <is>
          <t>Current official issuer terms accessed 2026-09-09</t>
        </is>
      </c>
      <c r="U208" s="5" t="inlineStr">
        <is>
          <t>https://www.yes.bank.in/personal-banking/yes-individual/cards/credit-cards</t>
        </is>
      </c>
      <c r="V208" s="2" t="inlineStr">
        <is>
          <t>Official issuer</t>
        </is>
      </c>
      <c r="W208" s="2" t="inlineStr">
        <is>
          <t>2026-09-09</t>
        </is>
      </c>
      <c r="X208" s="2" t="inlineStr">
        <is>
          <t>Second-pass reward/cashback research; populated only from located source material.</t>
        </is>
      </c>
    </row>
    <row r="209" ht="22" customHeight="1">
      <c r="A209" s="2" t="inlineStr">
        <is>
          <t>YES BANK</t>
        </is>
      </c>
      <c r="B209" s="3" t="inlineStr">
        <is>
          <t>Selectable</t>
        </is>
      </c>
      <c r="C209" s="4" t="inlineStr">
        <is>
          <t>Paisabazaar PaisaSave RuPay Credit Card</t>
        </is>
      </c>
      <c r="D209" s="4" t="inlineStr">
        <is>
          <t>1% reward value on eligible general spends (2 Reward Points per ₹200).</t>
        </is>
      </c>
      <c r="E209" s="4" t="inlineStr">
        <is>
          <t>6% reward value on eligible dining and travel spends (12 Reward Points per ₹200), plus UPI functionality subject to RuPay terms.</t>
        </is>
      </c>
      <c r="F209" s="4" t="inlineStr">
        <is>
          <t>1 Reward Point = ₹1 for eligible statement-credit redemption.</t>
        </is>
      </c>
      <c r="G209" s="4" t="inlineStr">
        <is>
          <t>Accelerated rewards capped at 3,000 points per statement cycle.</t>
        </is>
      </c>
      <c r="H209" s="4" t="inlineStr"/>
      <c r="I209" s="4" t="inlineStr"/>
      <c r="J209" s="4" t="inlineStr"/>
      <c r="K209" s="4" t="inlineStr">
        <is>
          <t>Nil</t>
        </is>
      </c>
      <c r="L209" s="4" t="inlineStr">
        <is>
          <t>Nil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5" t="inlineStr">
        <is>
          <t>https://www.yes.bank.in/personal-banking/yes-individual/cards/credit-cards</t>
        </is>
      </c>
      <c r="T209" s="2" t="inlineStr">
        <is>
          <t>Current official issuer terms accessed 2026-09-09</t>
        </is>
      </c>
      <c r="U209" s="5" t="inlineStr">
        <is>
          <t>https://www.yes.bank.in/personal-banking/yes-individual/cards/credit-cards</t>
        </is>
      </c>
      <c r="V209" s="2" t="inlineStr">
        <is>
          <t>Official issuer</t>
        </is>
      </c>
      <c r="W209" s="2" t="inlineStr">
        <is>
          <t>2026-09-09</t>
        </is>
      </c>
      <c r="X209" s="2" t="inlineStr">
        <is>
          <t>Second-pass reward/cashback research; populated only from located source material.</t>
        </is>
      </c>
    </row>
    <row r="210" ht="22" customHeight="1">
      <c r="A210" s="2" t="inlineStr">
        <is>
          <t>YES BANK</t>
        </is>
      </c>
      <c r="B210" s="3" t="inlineStr">
        <is>
          <t>Selectable</t>
        </is>
      </c>
      <c r="C210" s="4" t="inlineStr">
        <is>
          <t>POP-CLUB YES BANK Credit Card</t>
        </is>
      </c>
      <c r="D210" s="4" t="inlineStr">
        <is>
          <t>2 POPcoins per ₹100 on eligible other spends.</t>
        </is>
      </c>
      <c r="E210" s="4" t="inlineStr">
        <is>
          <t>10 POPcoins per ₹100 on eligible online spends under the current co-brand proposition.</t>
        </is>
      </c>
      <c r="F210" s="4" t="inlineStr"/>
      <c r="G210" s="4" t="inlineStr"/>
      <c r="H210" s="4" t="inlineStr"/>
      <c r="I210" s="4" t="inlineStr"/>
      <c r="J210" s="4" t="inlineStr"/>
      <c r="K210" s="4" t="inlineStr">
        <is>
          <t>Nil</t>
        </is>
      </c>
      <c r="L210" s="4" t="inlineStr">
        <is>
          <t>₹399</t>
        </is>
      </c>
      <c r="M210" s="4" t="inlineStr">
        <is>
          <t>Published renewal-fee waiver at ₹1.5 lakh eligible annual spend.</t>
        </is>
      </c>
      <c r="N210" s="4" t="inlineStr"/>
      <c r="O210" s="4" t="inlineStr"/>
      <c r="P210" s="4" t="inlineStr"/>
      <c r="Q210" s="4" t="inlineStr"/>
      <c r="R210" s="4" t="inlineStr"/>
      <c r="S210" s="5" t="inlineStr">
        <is>
          <t>https://www.yes.bank.in/personal-banking/yes-individual/cards/credit-cards</t>
        </is>
      </c>
      <c r="T210" s="2" t="inlineStr">
        <is>
          <t>Current official issuer terms accessed 2026-09-09</t>
        </is>
      </c>
      <c r="U210" s="5" t="inlineStr">
        <is>
          <t>https://www.yes.bank.in/personal-banking/yes-individual/cards/credit-cards</t>
        </is>
      </c>
      <c r="V210" s="2" t="inlineStr">
        <is>
          <t>Official issuer</t>
        </is>
      </c>
      <c r="W210" s="2" t="inlineStr">
        <is>
          <t>2026-09-09</t>
        </is>
      </c>
      <c r="X210" s="2" t="inlineStr">
        <is>
          <t>Second-pass reward/cashback research; populated only from located source material.</t>
        </is>
      </c>
    </row>
    <row r="211" ht="22" customHeight="1">
      <c r="A211" s="2" t="inlineStr">
        <is>
          <t>YES BANK</t>
        </is>
      </c>
      <c r="B211" s="3" t="inlineStr">
        <is>
          <t>Selectable</t>
        </is>
      </c>
      <c r="C211" s="4" t="inlineStr">
        <is>
          <t>ANQ Phi YES BANK Credit Card</t>
        </is>
      </c>
      <c r="D211" s="4" t="inlineStr">
        <is>
          <t>4 YES Rewardz Points per ₹200 on eligible other spends.</t>
        </is>
      </c>
      <c r="E211" s="4" t="inlineStr">
        <is>
          <t>24 points per ₹200 on selected groceries, supermarkets, travel, dining, hotels, apparel and online entertainment; eligible UPI transactions above ₹2,000 can earn 8 points per ₹200.</t>
        </is>
      </c>
      <c r="F211" s="4" t="inlineStr"/>
      <c r="G211" s="4" t="inlineStr">
        <is>
          <t>UPI accelerated rewards subject to the published monthly cap.</t>
        </is>
      </c>
      <c r="H211" s="4" t="inlineStr"/>
      <c r="I211" s="4" t="inlineStr"/>
      <c r="J211" s="4" t="inlineStr"/>
      <c r="K211" s="4" t="inlineStr">
        <is>
          <t>Nil</t>
        </is>
      </c>
      <c r="L211" s="4" t="inlineStr">
        <is>
          <t>₹499</t>
        </is>
      </c>
      <c r="M211" s="4" t="inlineStr">
        <is>
          <t>Published renewal-fee waiver at ₹1.2 lakh eligible annual spend.</t>
        </is>
      </c>
      <c r="N211" s="4" t="inlineStr"/>
      <c r="O211" s="4" t="inlineStr"/>
      <c r="P211" s="4" t="inlineStr"/>
      <c r="Q211" s="4" t="inlineStr"/>
      <c r="R211" s="4" t="inlineStr"/>
      <c r="S211" s="5" t="inlineStr">
        <is>
          <t>https://www.yes.bank.in/personal-banking/yes-individual/cards/credit-cards</t>
        </is>
      </c>
      <c r="T211" s="2" t="inlineStr">
        <is>
          <t>Current official issuer terms accessed 2026-09-09</t>
        </is>
      </c>
      <c r="U211" s="5" t="inlineStr">
        <is>
          <t>https://www.yes.bank.in/personal-banking/yes-individual/cards/credit-cards</t>
        </is>
      </c>
      <c r="V211" s="2" t="inlineStr">
        <is>
          <t>Official issuer</t>
        </is>
      </c>
      <c r="W211" s="2" t="inlineStr">
        <is>
          <t>2026-09-09</t>
        </is>
      </c>
      <c r="X211" s="2" t="inlineStr">
        <is>
          <t>Second-pass reward/cashback research; populated only from located source material.</t>
        </is>
      </c>
    </row>
    <row r="212" ht="22" customHeight="1">
      <c r="A212" s="2" t="inlineStr">
        <is>
          <t>YES BANK</t>
        </is>
      </c>
      <c r="B212" s="3" t="inlineStr">
        <is>
          <t>Selectable</t>
        </is>
      </c>
      <c r="C212" s="4" t="inlineStr">
        <is>
          <t>UNI YES BANK Credit Card</t>
        </is>
      </c>
      <c r="D212" s="4" t="inlineStr">
        <is>
          <t>1% cashback credited in Uni Coins on eligible transactions.</t>
        </is>
      </c>
      <c r="E212" s="4" t="inlineStr"/>
      <c r="F212" s="4" t="inlineStr"/>
      <c r="G212" s="4" t="inlineStr"/>
      <c r="H212" s="4" t="inlineStr"/>
      <c r="I212" s="4" t="inlineStr"/>
      <c r="J212" s="4" t="inlineStr"/>
      <c r="K212" s="4" t="inlineStr">
        <is>
          <t>Nil</t>
        </is>
      </c>
      <c r="L212" s="4" t="inlineStr">
        <is>
          <t>₹499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5" t="inlineStr">
        <is>
          <t>https://www.yes.bank.in/personal-banking/yes-individual/cards/credit-cards</t>
        </is>
      </c>
      <c r="T212" s="2" t="inlineStr">
        <is>
          <t>Current official issuer terms accessed 2026-09-09</t>
        </is>
      </c>
      <c r="U212" s="5" t="inlineStr">
        <is>
          <t>https://www.yes.bank.in/personal-banking/yes-individual/cards/credit-cards</t>
        </is>
      </c>
      <c r="V212" s="2" t="inlineStr">
        <is>
          <t>Official issuer</t>
        </is>
      </c>
      <c r="W212" s="2" t="inlineStr">
        <is>
          <t>2026-09-09</t>
        </is>
      </c>
      <c r="X212" s="2" t="inlineStr">
        <is>
          <t>Second-pass reward/cashback research; populated only from located source material.</t>
        </is>
      </c>
    </row>
    <row r="213" ht="22" customHeight="1">
      <c r="A213" s="2" t="inlineStr">
        <is>
          <t>YES BANK</t>
        </is>
      </c>
      <c r="B213" s="3" t="inlineStr">
        <is>
          <t>Selectable</t>
        </is>
      </c>
      <c r="C213" s="4" t="inlineStr">
        <is>
          <t>Zagg YES BANK Credit Card</t>
        </is>
      </c>
      <c r="D213" s="4" t="inlineStr">
        <is>
          <t>No generic non-UPI earn rate clearly disclosed in accessible issuer text.</t>
        </is>
      </c>
      <c r="E213" s="4" t="inlineStr">
        <is>
          <t>3% of eligible UPI transaction amount credited as Zagg Coins under the co-brand rewards policy.</t>
        </is>
      </c>
      <c r="F213" s="4" t="inlineStr">
        <is>
          <t>1 Zagg Coin = approximately ₹0.25 under the partner policy/app proposition (effective cash value about 0.75% if 3 coins per rupee-percent basis is applied as published).</t>
        </is>
      </c>
      <c r="G213" s="4" t="inlineStr"/>
      <c r="H213" s="4" t="inlineStr">
        <is>
          <t>₹50 minimum eligible UPI transaction under partner policy.</t>
        </is>
      </c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5" t="inlineStr">
        <is>
          <t>https://www.yes.bank.in/personal-banking/yes-individual/cards/credit-cards</t>
        </is>
      </c>
      <c r="T213" s="2" t="inlineStr">
        <is>
          <t>Current official catalogue accessed 2026-09-09</t>
        </is>
      </c>
      <c r="U213" s="5" t="inlineStr">
        <is>
          <t>https://www.zagg.money/rewards-policy</t>
        </is>
      </c>
      <c r="V213" s="2" t="inlineStr">
        <is>
          <t>Official co-brand</t>
        </is>
      </c>
      <c r="W213" s="2" t="inlineStr">
        <is>
          <t>2026-09-09</t>
        </is>
      </c>
      <c r="X213" s="2" t="inlineStr">
        <is>
          <t>Second-pass reward/cashback research; populated only from located source material.</t>
        </is>
      </c>
    </row>
    <row r="214" ht="22" customHeight="1">
      <c r="A214" s="2" t="inlineStr">
        <is>
          <t>YES BANK</t>
        </is>
      </c>
      <c r="B214" s="3" t="inlineStr">
        <is>
          <t>Selectable</t>
        </is>
      </c>
      <c r="C214" s="4" t="inlineStr">
        <is>
          <t>Klick YES BANK Credit Card</t>
        </is>
      </c>
      <c r="D214" s="4" t="inlineStr">
        <is>
          <t>2 YES Rewardz Points per ₹200 on eligible non-UPI spends.</t>
        </is>
      </c>
      <c r="E214" s="4" t="inlineStr"/>
      <c r="F214" s="4" t="inlineStr"/>
      <c r="G214" s="4" t="inlineStr"/>
      <c r="H214" s="4" t="inlineStr"/>
      <c r="I214" s="4" t="inlineStr"/>
      <c r="J214" s="4" t="inlineStr"/>
      <c r="K214" s="4" t="inlineStr">
        <is>
          <t>Nil</t>
        </is>
      </c>
      <c r="L214" s="4" t="inlineStr">
        <is>
          <t>Nil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5" t="inlineStr">
        <is>
          <t>https://www.yes.bank.in/personal-banking/yes-individual/cards/credit-cards</t>
        </is>
      </c>
      <c r="T214" s="2" t="inlineStr">
        <is>
          <t>Current official issuer terms accessed 2026-09-09</t>
        </is>
      </c>
      <c r="U214" s="5" t="inlineStr">
        <is>
          <t>https://www.yes.bank.in/personal-banking/yes-individual/cards/credit-cards</t>
        </is>
      </c>
      <c r="V214" s="2" t="inlineStr">
        <is>
          <t>Official issuer</t>
        </is>
      </c>
      <c r="W214" s="2" t="inlineStr">
        <is>
          <t>2026-09-09</t>
        </is>
      </c>
      <c r="X214" s="2" t="inlineStr">
        <is>
          <t>Second-pass reward/cashback research; populated only from located source material.</t>
        </is>
      </c>
    </row>
    <row r="215" ht="22" customHeight="1">
      <c r="A215" s="2" t="inlineStr">
        <is>
          <t>YES BANK</t>
        </is>
      </c>
      <c r="B215" s="3" t="inlineStr">
        <is>
          <t>Selectable</t>
        </is>
      </c>
      <c r="C215" s="4" t="inlineStr">
        <is>
          <t>YES PRIVATE Credit Card</t>
        </is>
      </c>
      <c r="D215" s="4" t="inlineStr">
        <is>
          <t>20 YES Rewardz Points per ₹200 on eligible domestic spends.</t>
        </is>
      </c>
      <c r="E215" s="4" t="inlineStr">
        <is>
          <t>40 YES Rewardz Points per ₹200 on eligible international spends.</t>
        </is>
      </c>
      <c r="F215" s="4" t="inlineStr">
        <is>
          <t>1 Reward Point = up to about ₹0.25 under specified redemption options.</t>
        </is>
      </c>
      <c r="G215" s="4" t="inlineStr"/>
      <c r="H215" s="4" t="inlineStr"/>
      <c r="I215" s="4" t="inlineStr"/>
      <c r="J215" s="4" t="inlineStr"/>
      <c r="K215" s="4" t="inlineStr">
        <is>
          <t>₹50,000</t>
        </is>
      </c>
      <c r="L215" s="4" t="inlineStr">
        <is>
          <t>₹10,000</t>
        </is>
      </c>
      <c r="M215" s="4" t="inlineStr"/>
      <c r="N215" s="4" t="inlineStr">
        <is>
          <t>0.50%</t>
        </is>
      </c>
      <c r="O215" s="4" t="inlineStr">
        <is>
          <t>Unlimited domestic and international lounge access under current programme.</t>
        </is>
      </c>
      <c r="P215" s="4" t="inlineStr">
        <is>
          <t>2 lakh reward points on joining-fee realisation under current catalogue.</t>
        </is>
      </c>
      <c r="Q215" s="4" t="inlineStr"/>
      <c r="R215" s="4" t="inlineStr">
        <is>
          <t>Domestic/international golf privileges and premium private-card benefits.</t>
        </is>
      </c>
      <c r="S215" s="5" t="inlineStr">
        <is>
          <t>https://www.yes.bank.in/personal-banking/yes-individual/cards/credit-cards</t>
        </is>
      </c>
      <c r="T215" s="2" t="inlineStr">
        <is>
          <t>Current official catalogue accessed 2026-09-09</t>
        </is>
      </c>
      <c r="U215" s="5" t="inlineStr">
        <is>
          <t>https://www.yes.bank.in/personal-banking/yes-private-credit-card</t>
        </is>
      </c>
      <c r="V215" s="2" t="inlineStr">
        <is>
          <t>Official issuer</t>
        </is>
      </c>
      <c r="W215" s="2" t="inlineStr">
        <is>
          <t>2026-09-09</t>
        </is>
      </c>
      <c r="X215" s="2" t="inlineStr">
        <is>
          <t>Second-pass reward/cashback research; populated only from located source material.</t>
        </is>
      </c>
    </row>
    <row r="216" ht="34" customHeight="1">
      <c r="A216" s="2" t="inlineStr">
        <is>
          <t>RBL Bank</t>
        </is>
      </c>
      <c r="B216" s="3" t="inlineStr">
        <is>
          <t>Selectable</t>
        </is>
      </c>
      <c r="C216" s="4" t="inlineStr">
        <is>
          <t>Apex Credit Card</t>
        </is>
      </c>
      <c r="D216" s="4" t="inlineStr">
        <is>
          <t>1% cashback/value back on eligible other spends.</t>
        </is>
      </c>
      <c r="E216" s="4" t="inlineStr">
        <is>
          <t>2% cashback/value back on eligible flight, hotel, shopping and voucher purchases through RBL Rewards/eligible channels.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5" t="inlineStr">
        <is>
          <t>https://webassets.rblbank.com/document/credit-cards/rbl-cc-cardmember-agreement.pdf</t>
        </is>
      </c>
      <c r="T216" s="2" t="inlineStr">
        <is>
          <t>RBL Cardmember Agreement dated 2026-08-13; product-specific T&amp;C linked therein</t>
        </is>
      </c>
      <c r="U216" s="5" t="inlineStr">
        <is>
          <t>https://www.rbl.bank.in/personal-banking/cards/credit-cards/category</t>
        </is>
      </c>
      <c r="V216" s="2" t="inlineStr">
        <is>
          <t>Official issuer</t>
        </is>
      </c>
      <c r="W216" s="2" t="inlineStr">
        <is>
          <t>2026-09-09</t>
        </is>
      </c>
      <c r="X216" s="2" t="inlineStr">
        <is>
          <t>Second-pass reward/cashback research; populated only from located source material.</t>
        </is>
      </c>
    </row>
    <row r="217" ht="34" customHeight="1">
      <c r="A217" s="2" t="inlineStr">
        <is>
          <t>RBL Bank</t>
        </is>
      </c>
      <c r="B217" s="3" t="inlineStr">
        <is>
          <t>Selectable</t>
        </is>
      </c>
      <c r="C217" s="4" t="inlineStr">
        <is>
          <t>World Safari Credit Card</t>
        </is>
      </c>
      <c r="D217" s="4" t="inlineStr">
        <is>
          <t>2 Reward Points per ₹100 on eligible domestic spends.</t>
        </is>
      </c>
      <c r="E217" s="4" t="inlineStr">
        <is>
          <t>5 Reward Points per ₹100 on eligible travel spends; international-spend proposition is primarily zero-forex rather than an accelerated points category.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5" t="inlineStr">
        <is>
          <t>https://webassets.rblbank.com/document/credit-cards/rbl-cc-cardmember-agreement.pdf</t>
        </is>
      </c>
      <c r="T217" s="2" t="inlineStr">
        <is>
          <t>RBL Cardmember Agreement dated 2026-08-13; product-specific T&amp;C linked therein</t>
        </is>
      </c>
      <c r="U217" s="5" t="inlineStr">
        <is>
          <t>https://www.rbl.bank.in/personal-banking/cards/credit-cards/category</t>
        </is>
      </c>
      <c r="V217" s="2" t="inlineStr">
        <is>
          <t>Official issuer</t>
        </is>
      </c>
      <c r="W217" s="2" t="inlineStr">
        <is>
          <t>2026-09-09</t>
        </is>
      </c>
      <c r="X217" s="2" t="inlineStr">
        <is>
          <t>Second-pass reward/cashback research; populated only from located source material.</t>
        </is>
      </c>
    </row>
    <row r="218" ht="34" customHeight="1">
      <c r="A218" s="2" t="inlineStr">
        <is>
          <t>RBL Bank</t>
        </is>
      </c>
      <c r="B218" s="3" t="inlineStr">
        <is>
          <t>Selectable</t>
        </is>
      </c>
      <c r="C218" s="4" t="inlineStr">
        <is>
          <t>Cookies Credit Card</t>
        </is>
      </c>
      <c r="D218" s="4" t="inlineStr">
        <is>
          <t>1 Reward Point per ₹100 on eligible spends.</t>
        </is>
      </c>
      <c r="E218" s="4" t="inlineStr">
        <is>
          <t>5X Reward Points on eligible online spends plus 10% cashback on selected partners such as Zomato, Myntra and Uber.</t>
        </is>
      </c>
      <c r="F218" s="4" t="inlineStr">
        <is>
          <t>1 Reward Point redeemable up to about ₹0.20 under current RBL rewards options.</t>
        </is>
      </c>
      <c r="G218" s="4" t="inlineStr">
        <is>
          <t>Partner cashback capped at up to ₹900/month in total with per-brand limits under the proposition.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5" t="inlineStr">
        <is>
          <t>https://webassets.rblbank.com/document/credit-cards/rbl-cc-cardmember-agreement.pdf</t>
        </is>
      </c>
      <c r="T218" s="2" t="inlineStr">
        <is>
          <t>RBL Cardmember Agreement dated 2026-08-13; product-specific T&amp;C linked therein</t>
        </is>
      </c>
      <c r="U218" s="5" t="inlineStr">
        <is>
          <t>https://www.rbl.bank.in/personal-banking/cards/credit-cards/category</t>
        </is>
      </c>
      <c r="V218" s="2" t="inlineStr">
        <is>
          <t>Official issuer</t>
        </is>
      </c>
      <c r="W218" s="2" t="inlineStr">
        <is>
          <t>2026-09-09</t>
        </is>
      </c>
      <c r="X218" s="2" t="inlineStr">
        <is>
          <t>Second-pass reward/cashback research; populated only from located source material.</t>
        </is>
      </c>
    </row>
    <row r="219" ht="34" customHeight="1">
      <c r="A219" s="2" t="inlineStr">
        <is>
          <t>RBL Bank</t>
        </is>
      </c>
      <c r="B219" s="3" t="inlineStr">
        <is>
          <t>Selectable</t>
        </is>
      </c>
      <c r="C219" s="4" t="inlineStr">
        <is>
          <t>RBL Bank NOVA Credit Card</t>
        </is>
      </c>
      <c r="D219" s="4" t="inlineStr">
        <is>
          <t>4 Reward Points per ₹200 on eligible spends.</t>
        </is>
      </c>
      <c r="E219" s="4" t="inlineStr">
        <is>
          <t>12 Reward Points per ₹200 on eligible flight/hotel bookings through the NOVA/RBL travel portal.</t>
        </is>
      </c>
      <c r="F219" s="4" t="inlineStr">
        <is>
          <t>1 Reward Point = ₹1 under NOVA redemption proposition; airline-mile conversion commonly 2 points = 1 mile.</t>
        </is>
      </c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5" t="inlineStr">
        <is>
          <t>https://webassets.rblbank.com/document/credit-cards/rbl-cc-cardmember-agreement.pdf</t>
        </is>
      </c>
      <c r="T219" s="2" t="inlineStr">
        <is>
          <t>RBL Cardmember Agreement dated 2026-08-13; product-specific T&amp;C linked therein</t>
        </is>
      </c>
      <c r="U219" s="5" t="inlineStr">
        <is>
          <t>https://www.rbl.bank.in/personal-banking/cards/credit-cards/nova-credit-card</t>
        </is>
      </c>
      <c r="V219" s="2" t="inlineStr">
        <is>
          <t>Official issuer</t>
        </is>
      </c>
      <c r="W219" s="2" t="inlineStr">
        <is>
          <t>2026-09-09</t>
        </is>
      </c>
      <c r="X219" s="2" t="inlineStr">
        <is>
          <t>Second-pass reward/cashback research; populated only from located source material.</t>
        </is>
      </c>
    </row>
    <row r="220" ht="34" customHeight="1">
      <c r="A220" s="2" t="inlineStr">
        <is>
          <t>RBL Bank</t>
        </is>
      </c>
      <c r="B220" s="3" t="inlineStr">
        <is>
          <t>Selectable</t>
        </is>
      </c>
      <c r="C220" s="4" t="inlineStr">
        <is>
          <t>IRCTC RBL Bank Credit Card</t>
        </is>
      </c>
      <c r="D220" s="4" t="inlineStr">
        <is>
          <t>1 Reward Point per ₹200 on eligible other online/offline spends.</t>
        </is>
      </c>
      <c r="E220" s="4" t="inlineStr">
        <is>
          <t>5 Reward Points per ₹200 on eligible IRCTC train bookings; 3 per ₹200 on specified FASTag/NCMC/UTS reloads; 2 per ₹200 on eligible IRCTC flight/hotel/cruise bookings.</t>
        </is>
      </c>
      <c r="F220" s="4" t="inlineStr">
        <is>
          <t>1 Reward Point = ₹1 when redeemed on eligible IRCTC bookings.</t>
        </is>
      </c>
      <c r="G220" s="4" t="inlineStr">
        <is>
          <t>Accelerated travel categories subject to current monthly reward caps; issuer value calculator shows up to 1,000 points/month in key accelerated buckets.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5" t="inlineStr">
        <is>
          <t>https://webassets.rblbank.com/document/credit-cards/rbl-cc-cardmember-agreement.pdf</t>
        </is>
      </c>
      <c r="T220" s="2" t="inlineStr">
        <is>
          <t>RBL Cardmember Agreement dated 2026-08-13; product-specific T&amp;C linked therein</t>
        </is>
      </c>
      <c r="U220" s="5" t="inlineStr">
        <is>
          <t>https://www.rbl.bank.in/personal-banking/cards/credit-cards/irctc-rbl-bank-credit-card</t>
        </is>
      </c>
      <c r="V220" s="2" t="inlineStr">
        <is>
          <t>Official issuer</t>
        </is>
      </c>
      <c r="W220" s="2" t="inlineStr">
        <is>
          <t>2026-09-09</t>
        </is>
      </c>
      <c r="X220" s="2" t="inlineStr">
        <is>
          <t>Second-pass reward/cashback research; populated only from located source material.</t>
        </is>
      </c>
    </row>
    <row r="221" ht="34" customHeight="1">
      <c r="A221" s="2" t="inlineStr">
        <is>
          <t>RBL Bank</t>
        </is>
      </c>
      <c r="B221" s="3" t="inlineStr">
        <is>
          <t>Selectable</t>
        </is>
      </c>
      <c r="C221" s="4" t="inlineStr">
        <is>
          <t>Shoppers Stop RBL Bank Gold Credit Card</t>
        </is>
      </c>
      <c r="D221" s="4" t="inlineStr"/>
      <c r="E221" s="4" t="inlineStr">
        <is>
          <t>10 Reward Points per ₹100 on eligible Shoppers Stop spends.</t>
        </is>
      </c>
      <c r="F221" s="4" t="inlineStr">
        <is>
          <t>1 Reward Point = ₹0.25 for the Gold proposition.</t>
        </is>
      </c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5" t="inlineStr">
        <is>
          <t>https://webassets.rblbank.com/document/credit-cards/rbl-cc-cardmember-agreement.pdf</t>
        </is>
      </c>
      <c r="T221" s="2" t="inlineStr">
        <is>
          <t>RBL Cardmember Agreement dated 2026-08-13; product-specific T&amp;C linked therein</t>
        </is>
      </c>
      <c r="U221" s="5" t="inlineStr">
        <is>
          <t>https://www.rbl.bank.in/personal-banking/cards/credit-cards/category</t>
        </is>
      </c>
      <c r="V221" s="2" t="inlineStr">
        <is>
          <t>Official issuer</t>
        </is>
      </c>
      <c r="W221" s="2" t="inlineStr">
        <is>
          <t>2026-09-09</t>
        </is>
      </c>
      <c r="X221" s="2" t="inlineStr">
        <is>
          <t>Second-pass reward/cashback research; populated only from located source material.</t>
        </is>
      </c>
    </row>
    <row r="222" ht="34" customHeight="1">
      <c r="A222" s="2" t="inlineStr">
        <is>
          <t>RBL Bank</t>
        </is>
      </c>
      <c r="B222" s="3" t="inlineStr">
        <is>
          <t>Selectable</t>
        </is>
      </c>
      <c r="C222" s="4" t="inlineStr">
        <is>
          <t>Shoppers Stop RBL Bank Platinum Credit Card</t>
        </is>
      </c>
      <c r="D222" s="4" t="inlineStr"/>
      <c r="E222" s="4" t="inlineStr">
        <is>
          <t>10 Reward Points per ₹100 on eligible Shoppers Stop spends.</t>
        </is>
      </c>
      <c r="F222" s="4" t="inlineStr">
        <is>
          <t>1 Reward Point = ₹0.50 for the Platinum proposition.</t>
        </is>
      </c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5" t="inlineStr">
        <is>
          <t>https://webassets.rblbank.com/document/credit-cards/rbl-cc-cardmember-agreement.pdf</t>
        </is>
      </c>
      <c r="T222" s="2" t="inlineStr">
        <is>
          <t>RBL Cardmember Agreement dated 2026-08-13; product-specific T&amp;C linked therein</t>
        </is>
      </c>
      <c r="U222" s="5" t="inlineStr">
        <is>
          <t>https://www.rbl.bank.in/personal-banking/cards/credit-cards/category</t>
        </is>
      </c>
      <c r="V222" s="2" t="inlineStr">
        <is>
          <t>Official issuer</t>
        </is>
      </c>
      <c r="W222" s="2" t="inlineStr">
        <is>
          <t>2026-09-09</t>
        </is>
      </c>
      <c r="X222" s="2" t="inlineStr">
        <is>
          <t>Second-pass reward/cashback research; populated only from located source material.</t>
        </is>
      </c>
    </row>
    <row r="223" ht="34" customHeight="1">
      <c r="A223" s="2" t="inlineStr">
        <is>
          <t>RBL Bank</t>
        </is>
      </c>
      <c r="B223" s="3" t="inlineStr">
        <is>
          <t>Selectable</t>
        </is>
      </c>
      <c r="C223" s="4" t="inlineStr">
        <is>
          <t>Shoppers Stop RBL Bank Black Credit Card</t>
        </is>
      </c>
      <c r="D223" s="4" t="inlineStr"/>
      <c r="E223" s="4" t="inlineStr">
        <is>
          <t>15 Reward Points per ₹100 on eligible Shoppers Stop spends.</t>
        </is>
      </c>
      <c r="F223" s="4" t="inlineStr">
        <is>
          <t>1 Reward Point = up to ₹1 under the Black proposition.</t>
        </is>
      </c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5" t="inlineStr">
        <is>
          <t>https://webassets.rblbank.com/document/credit-cards/rbl-cc-cardmember-agreement.pdf</t>
        </is>
      </c>
      <c r="T223" s="2" t="inlineStr">
        <is>
          <t>RBL Cardmember Agreement dated 2026-08-13; product-specific T&amp;C linked therein</t>
        </is>
      </c>
      <c r="U223" s="5" t="inlineStr">
        <is>
          <t>https://www.rbl.bank.in/personal-banking/cards/credit-cards/category</t>
        </is>
      </c>
      <c r="V223" s="2" t="inlineStr">
        <is>
          <t>Official issuer</t>
        </is>
      </c>
      <c r="W223" s="2" t="inlineStr">
        <is>
          <t>2026-09-09</t>
        </is>
      </c>
      <c r="X223" s="2" t="inlineStr">
        <is>
          <t>Second-pass reward/cashback research; populated only from located source material.</t>
        </is>
      </c>
    </row>
    <row r="224" ht="34" customHeight="1">
      <c r="A224" s="2" t="inlineStr">
        <is>
          <t>RBL Bank</t>
        </is>
      </c>
      <c r="B224" s="3" t="inlineStr">
        <is>
          <t>Selectable</t>
        </is>
      </c>
      <c r="C224" s="4" t="inlineStr">
        <is>
          <t>IndianOil XTRA RBL Bank Credit Card</t>
        </is>
      </c>
      <c r="D224" s="4" t="inlineStr">
        <is>
          <t>2 Fuel Points per ₹100 on eligible other spends.</t>
        </is>
      </c>
      <c r="E224" s="4" t="inlineStr">
        <is>
          <t>15 Fuel Points per ₹100 on eligible IndianOil fuel spends.</t>
        </is>
      </c>
      <c r="F224" s="4" t="inlineStr">
        <is>
          <t>1 Fuel Point = about ₹0.50 under the co-brand redemption proposition.</t>
        </is>
      </c>
      <c r="G224" s="4" t="inlineStr">
        <is>
          <t>Accelerated IndianOil earn subject to the published monthly Fuel Point cap (about 2,000 points/month in current materials).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5" t="inlineStr">
        <is>
          <t>https://webassets.rblbank.com/document/credit-cards/rbl-cc-cardmember-agreement.pdf</t>
        </is>
      </c>
      <c r="T224" s="2" t="inlineStr">
        <is>
          <t>RBL Cardmember Agreement dated 2026-08-13; product-specific T&amp;C linked therein</t>
        </is>
      </c>
      <c r="U224" s="5" t="inlineStr">
        <is>
          <t>https://www.rbl.bank.in/personal-banking/cards/credit-cards/category</t>
        </is>
      </c>
      <c r="V224" s="2" t="inlineStr">
        <is>
          <t>Official issuer</t>
        </is>
      </c>
      <c r="W224" s="2" t="inlineStr">
        <is>
          <t>2026-09-09</t>
        </is>
      </c>
      <c r="X224" s="2" t="inlineStr">
        <is>
          <t>Second-pass reward/cashback research; populated only from located source material.</t>
        </is>
      </c>
    </row>
    <row r="225" ht="34" customHeight="1">
      <c r="A225" s="2" t="inlineStr">
        <is>
          <t>RBL Bank</t>
        </is>
      </c>
      <c r="B225" s="3" t="inlineStr">
        <is>
          <t>Selectable</t>
        </is>
      </c>
      <c r="C225" s="4" t="inlineStr">
        <is>
          <t>IndianOil RBL Bank Credit Card</t>
        </is>
      </c>
      <c r="D225" s="4" t="inlineStr">
        <is>
          <t>1 Fuel Point per ₹100 on eligible other spends.</t>
        </is>
      </c>
      <c r="E225" s="4" t="inlineStr">
        <is>
          <t>10 Fuel Points per ₹100 on eligible IndianOil fuel spends.</t>
        </is>
      </c>
      <c r="F225" s="4" t="inlineStr">
        <is>
          <t>1 Fuel Point = about ₹0.50.</t>
        </is>
      </c>
      <c r="G225" s="4" t="inlineStr">
        <is>
          <t>Accelerated IndianOil earn subject to the published monthly cap (about 1,000 points/month).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5" t="inlineStr">
        <is>
          <t>https://webassets.rblbank.com/document/credit-cards/rbl-cc-cardmember-agreement.pdf</t>
        </is>
      </c>
      <c r="T225" s="2" t="inlineStr">
        <is>
          <t>RBL Cardmember Agreement dated 2026-08-13; product-specific T&amp;C linked therein</t>
        </is>
      </c>
      <c r="U225" s="5" t="inlineStr">
        <is>
          <t>https://www.rbl.bank.in/personal-banking/cards/credit-cards/category</t>
        </is>
      </c>
      <c r="V225" s="2" t="inlineStr">
        <is>
          <t>Official issuer</t>
        </is>
      </c>
      <c r="W225" s="2" t="inlineStr">
        <is>
          <t>2026-09-09</t>
        </is>
      </c>
      <c r="X225" s="2" t="inlineStr">
        <is>
          <t>Second-pass reward/cashback research; populated only from located source material.</t>
        </is>
      </c>
    </row>
    <row r="226" ht="34" customHeight="1">
      <c r="A226" s="2" t="inlineStr">
        <is>
          <t>RBL Bank</t>
        </is>
      </c>
      <c r="B226" s="3" t="inlineStr">
        <is>
          <t>Selectable</t>
        </is>
      </c>
      <c r="C226" s="4" t="inlineStr">
        <is>
          <t>RBL Bank Icon Credit Card</t>
        </is>
      </c>
      <c r="D226" s="4" t="inlineStr">
        <is>
          <t>2 Reward Points per ₹100 on eligible spends.</t>
        </is>
      </c>
      <c r="E226" s="4" t="inlineStr">
        <is>
          <t>20 Reward Points per ₹100 on eligible international spends and weekend dining, subject to category caps.</t>
        </is>
      </c>
      <c r="F226" s="4" t="inlineStr"/>
      <c r="G226" s="4" t="inlineStr">
        <is>
          <t>Accelerated categories subject to published monthly point caps.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5" t="inlineStr">
        <is>
          <t>https://webassets.rblbank.com/document/credit-cards/rbl-cc-cardmember-agreement.pdf</t>
        </is>
      </c>
      <c r="T226" s="2" t="inlineStr">
        <is>
          <t>RBL Cardmember Agreement dated 2026-08-13; product-specific T&amp;C linked therein</t>
        </is>
      </c>
      <c r="U226" s="5" t="inlineStr">
        <is>
          <t>https://www.rbl.bank.in/personal-banking/cards/credit-cards/category</t>
        </is>
      </c>
      <c r="V226" s="2" t="inlineStr">
        <is>
          <t>Official issuer</t>
        </is>
      </c>
      <c r="W226" s="2" t="inlineStr">
        <is>
          <t>2026-09-09</t>
        </is>
      </c>
      <c r="X226" s="2" t="inlineStr">
        <is>
          <t>Second-pass reward/cashback research; populated only from located source material.</t>
        </is>
      </c>
    </row>
    <row r="227" ht="34" customHeight="1">
      <c r="A227" s="2" t="inlineStr">
        <is>
          <t>RBL Bank</t>
        </is>
      </c>
      <c r="B227" s="3" t="inlineStr">
        <is>
          <t>Selectable</t>
        </is>
      </c>
      <c r="C227" s="4" t="inlineStr">
        <is>
          <t>RBL Bank World Safari Lite Credit Card</t>
        </is>
      </c>
      <c r="D227" s="4" t="inlineStr">
        <is>
          <t>1 Reward Point per ₹100 on eligible spends.</t>
        </is>
      </c>
      <c r="E227" s="4" t="inlineStr">
        <is>
          <t>5 Reward Points per ₹100 on eligible flight/hotel bookings through the RBL travel/rewards channel.</t>
        </is>
      </c>
      <c r="F227" s="4" t="inlineStr">
        <is>
          <t>Redemption value varies significantly by route; travel redemption is materially higher than general catalogue/cash options.</t>
        </is>
      </c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5" t="inlineStr">
        <is>
          <t>https://webassets.rblbank.com/document/credit-cards/rbl-cc-cardmember-agreement.pdf</t>
        </is>
      </c>
      <c r="T227" s="2" t="inlineStr">
        <is>
          <t>RBL Cardmember Agreement dated 2026-08-13; product-specific T&amp;C linked therein</t>
        </is>
      </c>
      <c r="U227" s="5" t="inlineStr">
        <is>
          <t>https://www.rbl.bank.in/personal-banking/cards/credit-cards/category</t>
        </is>
      </c>
      <c r="V227" s="2" t="inlineStr">
        <is>
          <t>Official issuer</t>
        </is>
      </c>
      <c r="W227" s="2" t="inlineStr">
        <is>
          <t>2026-09-09</t>
        </is>
      </c>
      <c r="X227" s="2" t="inlineStr">
        <is>
          <t>Second-pass reward/cashback research; populated only from located source material.</t>
        </is>
      </c>
    </row>
    <row r="228" ht="34" customHeight="1">
      <c r="A228" s="2" t="inlineStr">
        <is>
          <t>RBL Bank</t>
        </is>
      </c>
      <c r="B228" s="3" t="inlineStr">
        <is>
          <t>Selectable</t>
        </is>
      </c>
      <c r="C228" s="4" t="inlineStr">
        <is>
          <t>RBL Bank Platinum Maxima Plus Credit Card</t>
        </is>
      </c>
      <c r="D228" s="4" t="inlineStr">
        <is>
          <t>2 Reward Points per ₹100 on eligible spends.</t>
        </is>
      </c>
      <c r="E228" s="4" t="inlineStr">
        <is>
          <t>10 Reward Points per ₹100 on eligible dining, entertainment, grocery and international spends.</t>
        </is>
      </c>
      <c r="F228" s="4" t="inlineStr"/>
      <c r="G228" s="4" t="inlineStr">
        <is>
          <t>Accelerated rewards capped at the product-specific monthly limit (about 1,000 points/month in published terms).</t>
        </is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5" t="inlineStr">
        <is>
          <t>https://webassets.rblbank.com/document/credit-cards/rbl-cc-cardmember-agreement.pdf</t>
        </is>
      </c>
      <c r="T228" s="2" t="inlineStr">
        <is>
          <t>RBL Cardmember Agreement dated 2026-08-13; product-specific T&amp;C linked therein</t>
        </is>
      </c>
      <c r="U228" s="5" t="inlineStr">
        <is>
          <t>https://webassets.rblbank.com/document/credit-cards/terms-conditions-platinum-maxima-plus.pdf</t>
        </is>
      </c>
      <c r="V228" s="2" t="inlineStr">
        <is>
          <t>Official issuer</t>
        </is>
      </c>
      <c r="W228" s="2" t="inlineStr">
        <is>
          <t>2026-09-09</t>
        </is>
      </c>
      <c r="X228" s="2" t="inlineStr">
        <is>
          <t>Second-pass reward/cashback research; populated only from located source material.</t>
        </is>
      </c>
    </row>
    <row r="229" ht="34" customHeight="1">
      <c r="A229" s="2" t="inlineStr">
        <is>
          <t>RBL Bank</t>
        </is>
      </c>
      <c r="B229" s="3" t="inlineStr">
        <is>
          <t>Selectable</t>
        </is>
      </c>
      <c r="C229" s="4" t="inlineStr">
        <is>
          <t>RBL Bank Platinum Delight Credit Card</t>
        </is>
      </c>
      <c r="D229" s="4" t="inlineStr">
        <is>
          <t>2 Reward Points per ₹100 on eligible weekday spends.</t>
        </is>
      </c>
      <c r="E229" s="4" t="inlineStr">
        <is>
          <t>4 Reward Points per ₹100 on eligible weekend spends; additionally 1,000 bonus points for meeting the qualifying five-transaction monthly condition.</t>
        </is>
      </c>
      <c r="F229" s="4" t="inlineStr"/>
      <c r="G229" s="4" t="inlineStr">
        <is>
          <t>Maximum 1,000 reward points/month on the standard weekday/weekend earn programme under legacy terms.</t>
        </is>
      </c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5" t="inlineStr">
        <is>
          <t>https://webassets.rblbank.com/document/credit-cards/rbl-cc-cardmember-agreement.pdf</t>
        </is>
      </c>
      <c r="T229" s="2" t="inlineStr">
        <is>
          <t>RBL Cardmember Agreement dated 2026-08-13; product-specific T&amp;C linked therein</t>
        </is>
      </c>
      <c r="U229" s="5" t="inlineStr">
        <is>
          <t>https://www.rblbank.com/api/v1/doc/document/credit-cards/terms-conditions-platinum-delight.pdf</t>
        </is>
      </c>
      <c r="V229" s="2" t="inlineStr">
        <is>
          <t>Official issuer</t>
        </is>
      </c>
      <c r="W229" s="2" t="inlineStr">
        <is>
          <t>2026-09-09</t>
        </is>
      </c>
      <c r="X229" s="2" t="inlineStr">
        <is>
          <t>Discontinued; official product T&amp;C remains accessible.</t>
        </is>
      </c>
    </row>
    <row r="230" ht="34" customHeight="1">
      <c r="A230" s="2" t="inlineStr">
        <is>
          <t>RBL Bank</t>
        </is>
      </c>
      <c r="B230" s="3" t="inlineStr">
        <is>
          <t>Selectable</t>
        </is>
      </c>
      <c r="C230" s="4" t="inlineStr">
        <is>
          <t>RBL Bank ShopRite Credit Card</t>
        </is>
      </c>
      <c r="D230" s="4" t="inlineStr">
        <is>
          <t>1 Reward Point per ₹100 on eligible spends.</t>
        </is>
      </c>
      <c r="E230" s="4" t="inlineStr">
        <is>
          <t>20 Reward Points per ₹100 on eligible grocery spends, subject to cap.</t>
        </is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5" t="inlineStr">
        <is>
          <t>https://webassets.rblbank.com/document/credit-cards/rbl-cc-cardmember-agreement.pdf</t>
        </is>
      </c>
      <c r="T230" s="2" t="inlineStr">
        <is>
          <t>RBL Cardmember Agreement dated 2026-08-13; product-specific T&amp;C linked therein</t>
        </is>
      </c>
      <c r="U230" s="5" t="inlineStr">
        <is>
          <t>https://www.rbl.bank.in/personal-banking/cards/credit-cards/category</t>
        </is>
      </c>
      <c r="V230" s="2" t="inlineStr">
        <is>
          <t>Official issuer</t>
        </is>
      </c>
      <c r="W230" s="2" t="inlineStr">
        <is>
          <t>2026-09-09</t>
        </is>
      </c>
      <c r="X230" s="2" t="inlineStr">
        <is>
          <t>Second-pass reward/cashback research; populated only from located source material.</t>
        </is>
      </c>
    </row>
    <row r="231" ht="34" customHeight="1">
      <c r="A231" s="2" t="inlineStr">
        <is>
          <t>RBL Bank</t>
        </is>
      </c>
      <c r="B231" s="3" t="inlineStr">
        <is>
          <t>Selectable</t>
        </is>
      </c>
      <c r="C231" s="4" t="inlineStr">
        <is>
          <t>RBL Bank Play Credit Card</t>
        </is>
      </c>
      <c r="D231" s="4" t="inlineStr">
        <is>
          <t>No standard reward-points earn rate located in the current/legacy proposition.</t>
        </is>
      </c>
      <c r="E231" s="4" t="inlineStr">
        <is>
          <t>Primary monthly value is a BookMyShow benefit of about ₹500 after meeting the qualifying monthly spend threshold, rather than cashback/points.</t>
        </is>
      </c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5" t="inlineStr">
        <is>
          <t>https://webassets.rblbank.com/document/credit-cards/rbl-cc-cardmember-agreement.pdf</t>
        </is>
      </c>
      <c r="T231" s="2" t="inlineStr">
        <is>
          <t>RBL Cardmember Agreement dated 2026-08-13; product-specific T&amp;C linked therein</t>
        </is>
      </c>
      <c r="U231" s="5" t="inlineStr">
        <is>
          <t>https://www.rbl.bank.in/personal-banking/cards/credit-cards/category</t>
        </is>
      </c>
      <c r="V231" s="2" t="inlineStr">
        <is>
          <t>Official issuer</t>
        </is>
      </c>
      <c r="W231" s="2" t="inlineStr">
        <is>
          <t>2026-09-09</t>
        </is>
      </c>
      <c r="X231" s="2" t="inlineStr">
        <is>
          <t>Benefit-led card; no conventional earn rate added because none was found.</t>
        </is>
      </c>
    </row>
    <row r="232" ht="34" customHeight="1">
      <c r="A232" s="2" t="inlineStr">
        <is>
          <t>RBL Bank</t>
        </is>
      </c>
      <c r="B232" s="3" t="inlineStr">
        <is>
          <t>Selectable</t>
        </is>
      </c>
      <c r="C232" s="4" t="inlineStr">
        <is>
          <t>Patanjali RBL Bank Vishisht Credit Card</t>
        </is>
      </c>
      <c r="D232" s="4" t="inlineStr">
        <is>
          <t>1 Reward Point per ₹100 on eligible other spends.</t>
        </is>
      </c>
      <c r="E232" s="4" t="inlineStr">
        <is>
          <t>10% cashback on eligible Patanjali purchases, subject to minimum transaction and monthly cap.</t>
        </is>
      </c>
      <c r="F232" s="4" t="inlineStr"/>
      <c r="G232" s="4" t="inlineStr">
        <is>
          <t>Patanjali cashback capped at about ₹500/month under the Vishisht proposition.</t>
        </is>
      </c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5" t="inlineStr">
        <is>
          <t>https://webassets.rblbank.com/document/credit-cards/rbl-cc-cardmember-agreement.pdf</t>
        </is>
      </c>
      <c r="T232" s="2" t="inlineStr">
        <is>
          <t>RBL Cardmember Agreement dated 2026-08-13; product-specific T&amp;C linked therein</t>
        </is>
      </c>
      <c r="U232" s="5" t="inlineStr">
        <is>
          <t>https://www.rbl.bank.in/personal-banking/cards/credit-cards/rbl-bank-patanjali-vishisht-credit-card</t>
        </is>
      </c>
      <c r="V232" s="2" t="inlineStr">
        <is>
          <t>Official issuer</t>
        </is>
      </c>
      <c r="W232" s="2" t="inlineStr">
        <is>
          <t>2026-09-09</t>
        </is>
      </c>
      <c r="X232" s="2" t="inlineStr">
        <is>
          <t>Second-pass reward/cashback research; populated only from located source material.</t>
        </is>
      </c>
    </row>
    <row r="233" ht="34" customHeight="1">
      <c r="A233" s="2" t="inlineStr">
        <is>
          <t>RBL Bank</t>
        </is>
      </c>
      <c r="B233" s="3" t="inlineStr">
        <is>
          <t>Selectable</t>
        </is>
      </c>
      <c r="C233" s="4" t="inlineStr">
        <is>
          <t>Patanjali RBL Bank Swarn Credit Card</t>
        </is>
      </c>
      <c r="D233" s="4" t="inlineStr">
        <is>
          <t>1 Reward Point per ₹100 on eligible other spends.</t>
        </is>
      </c>
      <c r="E233" s="4" t="inlineStr">
        <is>
          <t>10% cashback on eligible Patanjali purchases.</t>
        </is>
      </c>
      <c r="F233" s="4" t="inlineStr"/>
      <c r="G233" s="4" t="inlineStr">
        <is>
          <t>Patanjali cashback capped at about ₹750/month under the Swarn proposition.</t>
        </is>
      </c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5" t="inlineStr">
        <is>
          <t>https://webassets.rblbank.com/document/credit-cards/rbl-cc-cardmember-agreement.pdf</t>
        </is>
      </c>
      <c r="T233" s="2" t="inlineStr">
        <is>
          <t>RBL Cardmember Agreement dated 2026-08-13; product-specific T&amp;C linked therein</t>
        </is>
      </c>
      <c r="U233" s="5" t="inlineStr">
        <is>
          <t>https://www.rbl.bank.in/personal-banking/cards/credit-cards/category</t>
        </is>
      </c>
      <c r="V233" s="2" t="inlineStr">
        <is>
          <t>Official issuer</t>
        </is>
      </c>
      <c r="W233" s="2" t="inlineStr">
        <is>
          <t>2026-09-09</t>
        </is>
      </c>
      <c r="X233" s="2" t="inlineStr">
        <is>
          <t>Second-pass reward/cashback research; populated only from located source material.</t>
        </is>
      </c>
    </row>
    <row r="234" ht="34" customHeight="1">
      <c r="A234" s="2" t="inlineStr">
        <is>
          <t>RBL Bank</t>
        </is>
      </c>
      <c r="B234" s="3" t="inlineStr">
        <is>
          <t>Selectable</t>
        </is>
      </c>
      <c r="C234" s="4" t="inlineStr">
        <is>
          <t>RBL Bank LUMIÈRE Credit Card</t>
        </is>
      </c>
      <c r="D234" s="4" t="inlineStr">
        <is>
          <t>4 Reward Points per ₹200 on eligible spends.</t>
        </is>
      </c>
      <c r="E234" s="4" t="inlineStr">
        <is>
          <t>20 Reward Points per ₹200 on eligible flight/hotel bookings through the LUMIERE/RBL premium travel portal.</t>
        </is>
      </c>
      <c r="F234" s="4" t="inlineStr">
        <is>
          <t>Published proposition values 1 Reward Point at up to ₹1 or 1 partner mile depending on redemption route.</t>
        </is>
      </c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5" t="inlineStr">
        <is>
          <t>https://webassets.rblbank.com/document/credit-cards/rbl-cc-cardmember-agreement.pdf</t>
        </is>
      </c>
      <c r="T234" s="2" t="inlineStr">
        <is>
          <t>RBL Cardmember Agreement dated 2026-08-13; product-specific T&amp;C linked therein</t>
        </is>
      </c>
      <c r="U234" s="5" t="inlineStr">
        <is>
          <t>https://www.paisabazaar.com/rbl-bank/rbl-lumiere-credit-card/</t>
        </is>
      </c>
      <c r="V234" s="2" t="inlineStr">
        <is>
          <t>Credible secondary</t>
        </is>
      </c>
      <c r="W234" s="2" t="inlineStr">
        <is>
          <t>2026-09-09</t>
        </is>
      </c>
      <c r="X234" s="2" t="inlineStr">
        <is>
          <t>Current RBL catalogue confirms LUMIERE; detailed searchable earn table was recovered from a current specialist comparison source.</t>
        </is>
      </c>
    </row>
    <row r="235" ht="34" customHeight="1">
      <c r="A235" s="2" t="inlineStr">
        <is>
          <t>RBL Bank</t>
        </is>
      </c>
      <c r="B235" s="6" t="inlineStr">
        <is>
          <t>Discontinued</t>
        </is>
      </c>
      <c r="C235" s="4" t="inlineStr">
        <is>
          <t>RBL Bank Fun+ Credit Card</t>
        </is>
      </c>
      <c r="D235" s="4" t="inlineStr">
        <is>
          <t>1 Reward Point per ₹100 on eligible spends.</t>
        </is>
      </c>
      <c r="E235" s="4" t="inlineStr">
        <is>
          <t>10 Reward Points per ₹100 at eligible BookMyShow/KFC/Pizza Hut spends and 20 per ₹100 on eligible weekend dining.</t>
        </is>
      </c>
      <c r="F235" s="4" t="inlineStr"/>
      <c r="G235" s="4" t="inlineStr">
        <is>
          <t>Accelerated rewards subject to monthly cap (about 1,000 points/month in legacy terms).</t>
        </is>
      </c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5" t="inlineStr">
        <is>
          <t>https://webassets.rblbank.com/document/credit-cards/rbl-cc-cardmember-agreement.pdf</t>
        </is>
      </c>
      <c r="T235" s="2" t="inlineStr">
        <is>
          <t>RBL Cardmember Agreement dated 2026-08-13; product-specific T&amp;C linked therein</t>
        </is>
      </c>
      <c r="U235" s="5" t="inlineStr">
        <is>
          <t>https://www.rbl.bank.in/personal-banking/cards/credit-cards/rbl-bank-fun-plus-credit-card</t>
        </is>
      </c>
      <c r="V235" s="2" t="inlineStr">
        <is>
          <t>Official issuer</t>
        </is>
      </c>
      <c r="W235" s="2" t="inlineStr">
        <is>
          <t>2026-09-09</t>
        </is>
      </c>
      <c r="X235" s="2" t="inlineStr">
        <is>
          <t>Discontinued; official legacy product page remains live.</t>
        </is>
      </c>
    </row>
    <row r="236" ht="34" customHeight="1">
      <c r="A236" s="2" t="inlineStr">
        <is>
          <t>RBL Bank</t>
        </is>
      </c>
      <c r="B236" s="6" t="inlineStr">
        <is>
          <t>Discontinued</t>
        </is>
      </c>
      <c r="C236" s="4" t="inlineStr">
        <is>
          <t>RBL Bank QuickPay Credit Card</t>
        </is>
      </c>
      <c r="D236" s="4" t="inlineStr">
        <is>
          <t>1 Reward Point per ₹200 on eligible spends under the issuer legacy proposition.</t>
        </is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5" t="inlineStr">
        <is>
          <t>https://webassets.rblbank.com/document/credit-cards/rbl-cc-cardmember-agreement.pdf</t>
        </is>
      </c>
      <c r="T236" s="2" t="inlineStr">
        <is>
          <t>RBL Cardmember Agreement dated 2026-08-13; product-specific T&amp;C linked therein</t>
        </is>
      </c>
      <c r="U236" s="5" t="inlineStr">
        <is>
          <t>https://www.rbl.bank.in/personal-banking/cards/credit-cards/rbl-bank-quick-pay-credit-card</t>
        </is>
      </c>
      <c r="V236" s="2" t="inlineStr">
        <is>
          <t>Official issuer</t>
        </is>
      </c>
      <c r="W236" s="2" t="inlineStr">
        <is>
          <t>2026-09-09</t>
        </is>
      </c>
      <c r="X236" s="2" t="inlineStr">
        <is>
          <t>Discontinued; official legacy page surfaced in second pass.</t>
        </is>
      </c>
    </row>
    <row r="237" ht="34" customHeight="1">
      <c r="A237" s="2" t="inlineStr">
        <is>
          <t>RBL Bank</t>
        </is>
      </c>
      <c r="B237" s="6" t="inlineStr">
        <is>
          <t>Discontinued</t>
        </is>
      </c>
      <c r="C237" s="4" t="inlineStr">
        <is>
          <t>RBL Bank iGlobe Credit Card</t>
        </is>
      </c>
      <c r="D237" s="4" t="inlineStr">
        <is>
          <t>5 Reward Points per ₹100 on eligible domestic purchases.</t>
        </is>
      </c>
      <c r="E237" s="4" t="inlineStr">
        <is>
          <t>10 Reward Points per ₹100 on eligible international purchases.</t>
        </is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5" t="inlineStr">
        <is>
          <t>https://webassets.rblbank.com/document/credit-cards/rbl-cc-cardmember-agreement.pdf</t>
        </is>
      </c>
      <c r="T237" s="2" t="inlineStr">
        <is>
          <t>RBL Cardmember Agreement dated 2026-08-13; product-specific T&amp;C linked therein</t>
        </is>
      </c>
      <c r="U237" s="5" t="inlineStr">
        <is>
          <t>https://www.rbl.bank.in/personal-banking/cards/credit-cards/iglobe-credit-card</t>
        </is>
      </c>
      <c r="V237" s="2" t="inlineStr">
        <is>
          <t>Official issuer</t>
        </is>
      </c>
      <c r="W237" s="2" t="inlineStr">
        <is>
          <t>2026-09-09</t>
        </is>
      </c>
      <c r="X237" s="2" t="inlineStr">
        <is>
          <t>Discontinued for new applications; official legacy page remains accessible.</t>
        </is>
      </c>
    </row>
    <row r="238" ht="34" customHeight="1">
      <c r="A238" s="2" t="inlineStr">
        <is>
          <t>RBL Bank</t>
        </is>
      </c>
      <c r="B238" s="6" t="inlineStr">
        <is>
          <t>Discontinued</t>
        </is>
      </c>
      <c r="C238" s="4" t="inlineStr">
        <is>
          <t>RBL Bank Platinum Maxima Credit Card</t>
        </is>
      </c>
      <c r="D238" s="4" t="inlineStr">
        <is>
          <t>2 Reward Points per ₹100 on eligible spends.</t>
        </is>
      </c>
      <c r="E238" s="4" t="inlineStr">
        <is>
          <t>10 Reward Points per ₹100 on eligible dining, entertainment, grocery and international purchases.</t>
        </is>
      </c>
      <c r="F238" s="4" t="inlineStr"/>
      <c r="G238" s="4" t="inlineStr">
        <is>
          <t>Accelerated category earn capped at 1,000 Reward Points per billing month.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5" t="inlineStr">
        <is>
          <t>https://webassets.rblbank.com/document/credit-cards/rbl-cc-cardmember-agreement.pdf</t>
        </is>
      </c>
      <c r="T238" s="2" t="inlineStr">
        <is>
          <t>RBL Cardmember Agreement dated 2026-08-13; product-specific T&amp;C linked therein</t>
        </is>
      </c>
      <c r="U238" s="5" t="inlineStr">
        <is>
          <t>https://webassets.rblbank.com/document/credit-cards/terms-conditions-platinum-maxima.pdf</t>
        </is>
      </c>
      <c r="V238" s="2" t="inlineStr">
        <is>
          <t>Official issuer</t>
        </is>
      </c>
      <c r="W238" s="2" t="inlineStr">
        <is>
          <t>2026-09-09</t>
        </is>
      </c>
      <c r="X238" s="2" t="inlineStr">
        <is>
          <t>Discontinued; official legacy T&amp;C recovered in second pass.</t>
        </is>
      </c>
    </row>
    <row r="239" ht="34" customHeight="1">
      <c r="A239" s="2" t="inlineStr">
        <is>
          <t>RBL Bank</t>
        </is>
      </c>
      <c r="B239" s="6" t="inlineStr">
        <is>
          <t>Discontinued</t>
        </is>
      </c>
      <c r="C239" s="4" t="inlineStr">
        <is>
          <t>RBL Bank SalarySe Up Credit Card</t>
        </is>
      </c>
      <c r="D239" s="4" t="inlineStr">
        <is>
          <t>1 Reward Point per ₹100 on eligible spends.</t>
        </is>
      </c>
      <c r="E239" s="4" t="inlineStr">
        <is>
          <t>5X rewards on eligible UPI through SalarySe, plus higher incremental earn above published monthly spend thresholds.</t>
        </is>
      </c>
      <c r="F239" s="4" t="inlineStr"/>
      <c r="G239" s="4" t="inlineStr">
        <is>
          <t>UPI/accelerated and incremental rewards subject to monthly caps in product terms.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5" t="inlineStr">
        <is>
          <t>https://webassets.rblbank.com/document/credit-cards/rbl-cc-cardmember-agreement.pdf</t>
        </is>
      </c>
      <c r="T239" s="2" t="inlineStr">
        <is>
          <t>RBL Cardmember Agreement dated 2026-08-13; product-specific T&amp;C linked therein</t>
        </is>
      </c>
      <c r="U239" s="5" t="inlineStr">
        <is>
          <t>https://www.rbl.bank.in/personal-banking/cards/credit-cards/category</t>
        </is>
      </c>
      <c r="V239" s="2" t="inlineStr">
        <is>
          <t>Official issuer</t>
        </is>
      </c>
      <c r="W239" s="2" t="inlineStr">
        <is>
          <t>2026-09-09</t>
        </is>
      </c>
      <c r="X239" s="2" t="inlineStr">
        <is>
          <t>Second-pass reward/cashback research; populated only from located source material.</t>
        </is>
      </c>
    </row>
    <row r="240" ht="34" customHeight="1">
      <c r="A240" s="2" t="inlineStr">
        <is>
          <t>RBL Bank</t>
        </is>
      </c>
      <c r="B240" s="6" t="inlineStr">
        <is>
          <t>Discontinued</t>
        </is>
      </c>
      <c r="C240" s="4" t="inlineStr">
        <is>
          <t>TVS RBL Bank Credit Card</t>
        </is>
      </c>
      <c r="D240" s="4" t="inlineStr">
        <is>
          <t>1 Reward Point per ₹100 on eligible in-store/offline spends.</t>
        </is>
      </c>
      <c r="E240" s="4" t="inlineStr">
        <is>
          <t>2 Reward Points per ₹100 on eligible online spends.</t>
        </is>
      </c>
      <c r="F240" s="4" t="inlineStr"/>
      <c r="G240" s="4" t="inlineStr">
        <is>
          <t>Accelerated online reward earn subject to product monthly cap.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5" t="inlineStr">
        <is>
          <t>https://webassets.rblbank.com/document/credit-cards/rbl-cc-cardmember-agreement.pdf</t>
        </is>
      </c>
      <c r="T240" s="2" t="inlineStr">
        <is>
          <t>RBL Cardmember Agreement dated 2026-08-13; product-specific T&amp;C linked therein</t>
        </is>
      </c>
      <c r="U240" s="5" t="inlineStr">
        <is>
          <t>https://www.rbl.bank.in/personal-banking/cards/credit-cards/category</t>
        </is>
      </c>
      <c r="V240" s="2" t="inlineStr">
        <is>
          <t>Official issuer</t>
        </is>
      </c>
      <c r="W240" s="2" t="inlineStr">
        <is>
          <t>2026-09-09</t>
        </is>
      </c>
      <c r="X240" s="2" t="inlineStr">
        <is>
          <t>Second-pass reward/cashback research; populated only from located source material.</t>
        </is>
      </c>
    </row>
    <row r="241" ht="34" customHeight="1">
      <c r="A241" s="2" t="inlineStr">
        <is>
          <t>RBL Bank</t>
        </is>
      </c>
      <c r="B241" s="6" t="inlineStr">
        <is>
          <t>Discontinued</t>
        </is>
      </c>
      <c r="C241" s="4" t="inlineStr">
        <is>
          <t>DMI RBL Bank Credit Card</t>
        </is>
      </c>
      <c r="D241" s="4" t="inlineStr">
        <is>
          <t>1 Reward Point per ₹100 on eligible in-store/offline spends.</t>
        </is>
      </c>
      <c r="E241" s="4" t="inlineStr">
        <is>
          <t>2 Reward Points per ₹100 on eligible online spends.</t>
        </is>
      </c>
      <c r="F241" s="4" t="inlineStr"/>
      <c r="G241" s="4" t="inlineStr">
        <is>
          <t>Accelerated online earn subject to product cap.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5" t="inlineStr">
        <is>
          <t>https://webassets.rblbank.com/document/credit-cards/rbl-cc-cardmember-agreement.pdf</t>
        </is>
      </c>
      <c r="T241" s="2" t="inlineStr">
        <is>
          <t>RBL Cardmember Agreement dated 2026-08-13; product-specific T&amp;C linked therein</t>
        </is>
      </c>
      <c r="U241" s="5" t="inlineStr">
        <is>
          <t>https://www.rbl.bank.in/personal-banking/cards/credit-cards/category</t>
        </is>
      </c>
      <c r="V241" s="2" t="inlineStr">
        <is>
          <t>Official issuer</t>
        </is>
      </c>
      <c r="W241" s="2" t="inlineStr">
        <is>
          <t>2026-09-09</t>
        </is>
      </c>
      <c r="X241" s="2" t="inlineStr">
        <is>
          <t>Second-pass reward/cashback research; populated only from located source material.</t>
        </is>
      </c>
    </row>
    <row r="242" ht="34" customHeight="1">
      <c r="A242" s="2" t="inlineStr">
        <is>
          <t>RBL Bank</t>
        </is>
      </c>
      <c r="B242" s="6" t="inlineStr">
        <is>
          <t>Discontinued</t>
        </is>
      </c>
      <c r="C242" s="4" t="inlineStr">
        <is>
          <t>RBL Bank SaveMax Credit Card</t>
        </is>
      </c>
      <c r="D242" s="4" t="inlineStr">
        <is>
          <t>1 Reward Point per ₹100 on eligible spends.</t>
        </is>
      </c>
      <c r="E242" s="4" t="inlineStr">
        <is>
          <t>5X rewards on eligible grocery spends plus partner cashback/discounts such as selected Zomato and BookMyShow offers.</t>
        </is>
      </c>
      <c r="F242" s="4" t="inlineStr"/>
      <c r="G242" s="4" t="inlineStr">
        <is>
          <t>Accelerated grocery reward points subject to monthly cap under legacy/current terms.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5" t="inlineStr">
        <is>
          <t>https://webassets.rblbank.com/document/credit-cards/rbl-cc-cardmember-agreement.pdf</t>
        </is>
      </c>
      <c r="T242" s="2" t="inlineStr">
        <is>
          <t>RBL Cardmember Agreement dated 2026-08-13; product-specific T&amp;C linked therein</t>
        </is>
      </c>
      <c r="U242" s="5" t="inlineStr">
        <is>
          <t>https://www.rbl.bank.in/personal-banking/cards/credit-cards/rbl-bank-bankbazaar-savemax-credit-card</t>
        </is>
      </c>
      <c r="V242" s="2" t="inlineStr">
        <is>
          <t>Official issuer</t>
        </is>
      </c>
      <c r="W242" s="2" t="inlineStr">
        <is>
          <t>2026-09-09</t>
        </is>
      </c>
      <c r="X242" s="2" t="inlineStr">
        <is>
          <t>Second-pass reward/cashback research; populated only from located source material.</t>
        </is>
      </c>
    </row>
    <row r="243" ht="34" customHeight="1">
      <c r="A243" s="2" t="inlineStr">
        <is>
          <t>RBL Bank</t>
        </is>
      </c>
      <c r="B243" s="6" t="inlineStr">
        <is>
          <t>Discontinued</t>
        </is>
      </c>
      <c r="C243" s="4" t="inlineStr">
        <is>
          <t>MoneyTap RBL Bank Credit Card</t>
        </is>
      </c>
      <c r="D243" s="4" t="inlineStr">
        <is>
          <t>1 Reward Point per ₹100 on eligible offline spends.</t>
        </is>
      </c>
      <c r="E243" s="4" t="inlineStr">
        <is>
          <t>2 Reward Points per ₹100 on eligible online spends; legacy proposition also included partner cashback such as Zomato.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5" t="inlineStr">
        <is>
          <t>https://webassets.rblbank.com/document/credit-cards/rbl-cc-cardmember-agreement.pdf</t>
        </is>
      </c>
      <c r="T243" s="2" t="inlineStr">
        <is>
          <t>RBL Cardmember Agreement dated 2026-08-13; product-specific T&amp;C linked therein</t>
        </is>
      </c>
      <c r="U243" s="5" t="inlineStr">
        <is>
          <t>https://www.rbl.bank.in/personal-banking/cards/credit-cards/category</t>
        </is>
      </c>
      <c r="V243" s="2" t="inlineStr">
        <is>
          <t>Official issuer</t>
        </is>
      </c>
      <c r="W243" s="2" t="inlineStr">
        <is>
          <t>2026-09-09</t>
        </is>
      </c>
      <c r="X243" s="2" t="inlineStr">
        <is>
          <t>Discontinued co-brand; legacy earn recovered from product material.</t>
        </is>
      </c>
    </row>
    <row r="244" ht="34" customHeight="1">
      <c r="A244" s="2" t="inlineStr">
        <is>
          <t>RBL Bank</t>
        </is>
      </c>
      <c r="B244" s="6" t="inlineStr">
        <is>
          <t>Discontinued</t>
        </is>
      </c>
      <c r="C244" s="4" t="inlineStr">
        <is>
          <t>Paisabazaar Duet RBL Bank Credit Card</t>
        </is>
      </c>
      <c r="D244" s="4" t="inlineStr">
        <is>
          <t>1% cashback on eligible purchases under the Paisabazaar Duet proposition.</t>
        </is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5" t="inlineStr">
        <is>
          <t>https://webassets.rblbank.com/document/credit-cards/rbl-cc-cardmember-agreement.pdf</t>
        </is>
      </c>
      <c r="T244" s="2" t="inlineStr">
        <is>
          <t>RBL Cardmember Agreement dated 2026-08-13; product-specific T&amp;C linked therein</t>
        </is>
      </c>
      <c r="U244" s="5" t="inlineStr">
        <is>
          <t>https://www.paisabazaar.com/paisabazaar-duet/</t>
        </is>
      </c>
      <c r="V244" s="2" t="inlineStr">
        <is>
          <t>Official co-brand / partner</t>
        </is>
      </c>
      <c r="W244" s="2" t="inlineStr">
        <is>
          <t>2026-09-09</t>
        </is>
      </c>
      <c r="X244" s="2" t="inlineStr">
        <is>
          <t>Second-pass reward/cashback research; populated only from located source material.</t>
        </is>
      </c>
    </row>
    <row r="245" ht="34" customHeight="1">
      <c r="A245" s="2" t="inlineStr">
        <is>
          <t>RBL Bank</t>
        </is>
      </c>
      <c r="B245" s="6" t="inlineStr">
        <is>
          <t>Discontinued</t>
        </is>
      </c>
      <c r="C245" s="4" t="inlineStr">
        <is>
          <t>Paisabazaar Plus RBL Bank Credit Card</t>
        </is>
      </c>
      <c r="D245" s="4" t="inlineStr">
        <is>
          <t>1% cashback on eligible other spends under the likely corresponding Duet Plus/Plus proposition.</t>
        </is>
      </c>
      <c r="E245" s="4" t="inlineStr">
        <is>
          <t>2.5% cashback on eligible dining and travel spends.</t>
        </is>
      </c>
      <c r="F245" s="4" t="inlineStr"/>
      <c r="G245" s="4" t="inlineStr">
        <is>
          <t>Cashback subject to the co-brand monthly cap (about ₹500/month in the referenced proposition).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5" t="inlineStr">
        <is>
          <t>https://webassets.rblbank.com/document/credit-cards/rbl-cc-cardmember-agreement.pdf</t>
        </is>
      </c>
      <c r="T245" s="2" t="inlineStr">
        <is>
          <t>RBL Cardmember Agreement dated 2026-08-13; product-specific T&amp;C linked therein</t>
        </is>
      </c>
      <c r="U245" s="5" t="inlineStr">
        <is>
          <t>https://www.rbl.bank.in/personal-banking/cards/credit-cards/rbl-bank-paisabazaar-duet-plus-credit-card</t>
        </is>
      </c>
      <c r="V245" s="2" t="inlineStr">
        <is>
          <t>Official issuer</t>
        </is>
      </c>
      <c r="W245" s="2" t="inlineStr">
        <is>
          <t>2026-09-09</t>
        </is>
      </c>
      <c r="X245" s="2" t="inlineStr">
        <is>
          <t>Catalogue name is Paisabazaar Plus; current issuer page is titled Paisabazaar Duet Plus. Mapping is likely but naming continuity is not independently documented.</t>
        </is>
      </c>
    </row>
    <row r="246" ht="34" customHeight="1">
      <c r="A246" s="2" t="inlineStr">
        <is>
          <t>RBL Bank</t>
        </is>
      </c>
      <c r="B246" s="6" t="inlineStr">
        <is>
          <t>Discontinued</t>
        </is>
      </c>
      <c r="C246" s="4" t="inlineStr">
        <is>
          <t>RBL Bank Insignia Credit Card</t>
        </is>
      </c>
      <c r="D246" s="4" t="inlineStr">
        <is>
          <t>5 Reward Points per ₹100 on eligible domestic spends.</t>
        </is>
      </c>
      <c r="E246" s="4" t="inlineStr">
        <is>
          <t>10 Reward Points per ₹100 on eligible international spends.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5" t="inlineStr">
        <is>
          <t>https://webassets.rblbank.com/document/credit-cards/rbl-cc-cardmember-agreement.pdf</t>
        </is>
      </c>
      <c r="T246" s="2" t="inlineStr">
        <is>
          <t>RBL Cardmember Agreement dated 2026-08-13; product-specific T&amp;C linked therein</t>
        </is>
      </c>
      <c r="U246" s="5" t="inlineStr">
        <is>
          <t>https://www.rbl.bank.in/personal-banking/cards/credit-cards/insignia-preferred-banking-credit-card</t>
        </is>
      </c>
      <c r="V246" s="2" t="inlineStr">
        <is>
          <t>Official issuer</t>
        </is>
      </c>
      <c r="W246" s="2" t="inlineStr">
        <is>
          <t>2026-09-09</t>
        </is>
      </c>
      <c r="X246" s="2" t="inlineStr">
        <is>
          <t>Second-pass reward/cashback research; populated only from located source material.</t>
        </is>
      </c>
    </row>
    <row r="247" ht="34" customHeight="1">
      <c r="A247" s="2" t="inlineStr">
        <is>
          <t>RBL Bank</t>
        </is>
      </c>
      <c r="B247" s="6" t="inlineStr">
        <is>
          <t>Discontinued</t>
        </is>
      </c>
      <c r="C247" s="4" t="inlineStr">
        <is>
          <t>RBL Bank Monthly Treats Credit Card</t>
        </is>
      </c>
      <c r="D247" s="4" t="inlineStr">
        <is>
          <t>1 Reward Point per ₹100 on eligible categories.</t>
        </is>
      </c>
      <c r="E247" s="4" t="inlineStr">
        <is>
          <t>5X Reward Points on eligible online spends plus 10% cashback on selected partners such as Zomato, Myntra and Uber.</t>
        </is>
      </c>
      <c r="F247" s="4" t="inlineStr">
        <is>
          <t>Up to about ₹0.20 per Reward Point under the legacy/current RBL rewards redemption proposition.</t>
        </is>
      </c>
      <c r="G247" s="4" t="inlineStr">
        <is>
          <t>Partner cashback capped at ₹900/month total, with ₹300 per selected brand.</t>
        </is>
      </c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5" t="inlineStr">
        <is>
          <t>https://webassets.rblbank.com/document/credit-cards/rbl-cc-cardmember-agreement.pdf</t>
        </is>
      </c>
      <c r="T247" s="2" t="inlineStr">
        <is>
          <t>RBL Cardmember Agreement dated 2026-08-13; product-specific T&amp;C linked therein</t>
        </is>
      </c>
      <c r="U247" s="5" t="inlineStr">
        <is>
          <t>https://www.rbl.bank.in/personal-banking/cards/credit-cards/monthly-treats-credit-card</t>
        </is>
      </c>
      <c r="V247" s="2" t="inlineStr">
        <is>
          <t>Official issuer</t>
        </is>
      </c>
      <c r="W247" s="2" t="inlineStr">
        <is>
          <t>2026-09-09</t>
        </is>
      </c>
      <c r="X247" s="2" t="inlineStr">
        <is>
          <t>Discontinued for new applications; official legacy page remains live.</t>
        </is>
      </c>
    </row>
    <row r="248" ht="34" customHeight="1">
      <c r="A248" s="2" t="inlineStr">
        <is>
          <t>RBL Bank</t>
        </is>
      </c>
      <c r="B248" s="6" t="inlineStr">
        <is>
          <t>Discontinued</t>
        </is>
      </c>
      <c r="C248" s="4" t="inlineStr">
        <is>
          <t>RBL Bank Popcorn Credit Card</t>
        </is>
      </c>
      <c r="D248" s="4" t="inlineStr">
        <is>
          <t>No conventional reward-point base rate found on the live legacy product page.</t>
        </is>
      </c>
      <c r="E248" s="4" t="inlineStr">
        <is>
          <t>₹25 weekly cashback after ₹2,500 of qualifying spend between Monday and Sunday, subject to redemption steps and excluded categories.</t>
        </is>
      </c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5" t="inlineStr">
        <is>
          <t>https://webassets.rblbank.com/document/credit-cards/rbl-cc-cardmember-agreement.pdf</t>
        </is>
      </c>
      <c r="T248" s="2" t="inlineStr">
        <is>
          <t>RBL Cardmember Agreement dated 2026-08-13; product-specific T&amp;C linked therein</t>
        </is>
      </c>
      <c r="U248" s="5" t="inlineStr">
        <is>
          <t>https://www.rbl.bank.in/personal-banking/cards/credit-cards/rbl-bank-popcorn-credit-card</t>
        </is>
      </c>
      <c r="V248" s="2" t="inlineStr">
        <is>
          <t>Official issuer</t>
        </is>
      </c>
      <c r="W248" s="2" t="inlineStr">
        <is>
          <t>2026-09-09</t>
        </is>
      </c>
      <c r="X248" s="2" t="inlineStr">
        <is>
          <t>Discontinued/legacy value is cashback-and-movie-benefit led rather than standard reward points.</t>
        </is>
      </c>
    </row>
    <row r="249" ht="34" customHeight="1">
      <c r="A249" s="2" t="inlineStr">
        <is>
          <t>RBL Bank</t>
        </is>
      </c>
      <c r="B249" s="6" t="inlineStr">
        <is>
          <t>Discontinued</t>
        </is>
      </c>
      <c r="C249" s="4" t="inlineStr">
        <is>
          <t>RBL Bank Movies and More Credit Card</t>
        </is>
      </c>
      <c r="D249" s="4" t="inlineStr">
        <is>
          <t>1 Reward Point per ₹100 on eligible purchases.</t>
        </is>
      </c>
      <c r="E249" s="4" t="inlineStr">
        <is>
          <t>10 Reward Points per ₹100 at eligible BookMyShow, Pizza Hut and KFC spends; 20 points per ₹100 on eligible dining on Wednesdays.</t>
        </is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5" t="inlineStr">
        <is>
          <t>https://webassets.rblbank.com/document/credit-cards/rbl-cc-cardmember-agreement.pdf</t>
        </is>
      </c>
      <c r="T249" s="2" t="inlineStr">
        <is>
          <t>RBL Cardmember Agreement dated 2026-08-13; product-specific T&amp;C linked therein</t>
        </is>
      </c>
      <c r="U249" s="5" t="inlineStr">
        <is>
          <t>https://www.rbl.bank.in/personal-banking/cards/credit-cards/movies-and-more-credit-card</t>
        </is>
      </c>
      <c r="V249" s="2" t="inlineStr">
        <is>
          <t>Official issuer</t>
        </is>
      </c>
      <c r="W249" s="2" t="inlineStr">
        <is>
          <t>2026-09-09</t>
        </is>
      </c>
      <c r="X249" s="2" t="inlineStr">
        <is>
          <t>Discontinued; official legacy page remains accessible.</t>
        </is>
      </c>
    </row>
    <row r="250" ht="34" customHeight="1">
      <c r="A250" s="2" t="inlineStr">
        <is>
          <t>RBL Bank</t>
        </is>
      </c>
      <c r="B250" s="6" t="inlineStr">
        <is>
          <t>Discontinued</t>
        </is>
      </c>
      <c r="C250" s="4" t="inlineStr">
        <is>
          <t>RBL Bank Blockbuster Credit Card</t>
        </is>
      </c>
      <c r="D250" s="4" t="inlineStr">
        <is>
          <t>2 Reward Points per ₹100 on eligible purchases.</t>
        </is>
      </c>
      <c r="E250" s="4" t="inlineStr">
        <is>
          <t>20 Reward Points per ₹100 on eligible weekend dining.</t>
        </is>
      </c>
      <c r="F250" s="4" t="inlineStr"/>
      <c r="G250" s="4" t="inlineStr">
        <is>
          <t>Accelerated weekend-dining rewards capped at 2,000 points per billing cycle.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5" t="inlineStr">
        <is>
          <t>https://webassets.rblbank.com/document/credit-cards/rbl-cc-cardmember-agreement.pdf</t>
        </is>
      </c>
      <c r="T250" s="2" t="inlineStr">
        <is>
          <t>RBL Cardmember Agreement dated 2026-08-13; product-specific T&amp;C linked therein</t>
        </is>
      </c>
      <c r="U250" s="5" t="inlineStr">
        <is>
          <t>https://www.rbl.bank.in/personal-banking/cards/credit-cards/rbl-bank-blockbuster-credit-card</t>
        </is>
      </c>
      <c r="V250" s="2" t="inlineStr">
        <is>
          <t>Official issuer</t>
        </is>
      </c>
      <c r="W250" s="2" t="inlineStr">
        <is>
          <t>2026-09-09</t>
        </is>
      </c>
      <c r="X250" s="2" t="inlineStr">
        <is>
          <t>Discontinued/migrating legacy proposition; official page and conversion notice remain available.</t>
        </is>
      </c>
    </row>
    <row r="251" ht="34" customHeight="1">
      <c r="A251" s="2" t="inlineStr">
        <is>
          <t>RBL Bank</t>
        </is>
      </c>
      <c r="B251" s="6" t="inlineStr">
        <is>
          <t>Discontinued</t>
        </is>
      </c>
      <c r="C251" s="4" t="inlineStr">
        <is>
          <t>RBL Bank Titanium Delight Credit Card</t>
        </is>
      </c>
      <c r="D251" s="4" t="inlineStr">
        <is>
          <t>1 Reward Point per ₹100 on eligible spends.</t>
        </is>
      </c>
      <c r="E251" s="4" t="inlineStr">
        <is>
          <t>Legacy Wednesday accelerator: up to 10 Reward Points per ₹100 on eligible grocery and 20 per ₹100 at specified pizza/movie/merchant categories, subject to terms.</t>
        </is>
      </c>
      <c r="F251" s="4" t="inlineStr"/>
      <c r="G251" s="4" t="inlineStr">
        <is>
          <t>Accelerated categories subject to product monthly caps.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5" t="inlineStr">
        <is>
          <t>https://webassets.rblbank.com/document/credit-cards/rbl-cc-cardmember-agreement.pdf</t>
        </is>
      </c>
      <c r="T251" s="2" t="inlineStr">
        <is>
          <t>RBL Cardmember Agreement dated 2026-08-13; product-specific T&amp;C linked therein</t>
        </is>
      </c>
      <c r="U251" s="5" t="inlineStr">
        <is>
          <t>https://webasset.rblbank.com/document/credit-cards/terms-conditions-titanium-delight.pdf</t>
        </is>
      </c>
      <c r="V251" s="2" t="inlineStr">
        <is>
          <t>Official issuer</t>
        </is>
      </c>
      <c r="W251" s="2" t="inlineStr">
        <is>
          <t>2026-09-09</t>
        </is>
      </c>
      <c r="X251" s="2" t="inlineStr">
        <is>
          <t>Discontinued; official legacy T&amp;C recovered.</t>
        </is>
      </c>
    </row>
    <row r="252" ht="34" customHeight="1">
      <c r="A252" s="2" t="inlineStr">
        <is>
          <t>RBL Bank</t>
        </is>
      </c>
      <c r="B252" s="6" t="inlineStr">
        <is>
          <t>Discontinued</t>
        </is>
      </c>
      <c r="C252" s="4" t="inlineStr">
        <is>
          <t>RBL Bank MoCash Credit Card</t>
        </is>
      </c>
      <c r="D252" s="4" t="inlineStr">
        <is>
          <t>1 Reward Point per ₹100 on eligible spends except excluded categories.</t>
        </is>
      </c>
      <c r="E252" s="4" t="inlineStr">
        <is>
          <t>2 Reward Points per ₹100 on eligible online spends.</t>
        </is>
      </c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5" t="inlineStr">
        <is>
          <t>https://webassets.rblbank.com/document/credit-cards/rbl-cc-cardmember-agreement.pdf</t>
        </is>
      </c>
      <c r="T252" s="2" t="inlineStr">
        <is>
          <t>RBL Cardmember Agreement dated 2026-08-13; legacy product T&amp;C links where retained</t>
        </is>
      </c>
      <c r="U252" s="5" t="inlineStr">
        <is>
          <t>https://www.rbl.bank.in/personal-banking/cards/credit-cards/mocash-credit-card</t>
        </is>
      </c>
      <c r="V252" s="2" t="inlineStr">
        <is>
          <t>Official issuer</t>
        </is>
      </c>
      <c r="W252" s="2" t="inlineStr">
        <is>
          <t>2026-09-09</t>
        </is>
      </c>
      <c r="X252" s="2" t="inlineStr">
        <is>
          <t>Discontinued; official legacy product page remains live and explicitly states earn rates.</t>
        </is>
      </c>
    </row>
    <row r="253" ht="46" customHeight="1">
      <c r="A253" s="2" t="inlineStr">
        <is>
          <t>American Express India</t>
        </is>
      </c>
      <c r="B253" s="3" t="inlineStr">
        <is>
          <t>Selectable</t>
        </is>
      </c>
      <c r="C253" s="4" t="inlineStr">
        <is>
          <t>American Express SmartEarn Credit Card</t>
        </is>
      </c>
      <c r="D253" s="4" t="inlineStr">
        <is>
          <t>1 Membership Reward Point/₹50 on eligible spends.</t>
        </is>
      </c>
      <c r="E253" s="4" t="inlineStr">
        <is>
          <t>10X rewards at selected partners including Zomato/AJIO/Nykaa/BookMyShow/Uber; 5X at Amazon, subject to partner/current caps.</t>
        </is>
      </c>
      <c r="F253" s="4" t="inlineStr"/>
      <c r="G253" s="4" t="inlineStr">
        <is>
          <t>Accelerated partner rewards are subject to monthly group caps; official programme publishes 500 MR/month caps for specified partner groups.</t>
        </is>
      </c>
      <c r="H253" s="4" t="inlineStr"/>
      <c r="I253" s="4" t="inlineStr">
        <is>
          <t>Fuel, insurance, utilities, cash and POS EMI excluded from base reward earning under current programme.</t>
        </is>
      </c>
      <c r="J253" s="4" t="inlineStr"/>
      <c r="K253" s="4" t="inlineStr">
        <is>
          <t>₹495 + taxes</t>
        </is>
      </c>
      <c r="L253" s="4" t="inlineStr">
        <is>
          <t>₹495 + taxes</t>
        </is>
      </c>
      <c r="M253" s="4" t="inlineStr">
        <is>
          <t>Annual fee waiver at ₹40,000 eligible annual spend.</t>
        </is>
      </c>
      <c r="N253" s="4" t="inlineStr">
        <is>
          <t>3.50%</t>
        </is>
      </c>
      <c r="O253" s="4" t="inlineStr"/>
      <c r="P253" s="4" t="inlineStr">
        <is>
          <t>₹500 voucher milestones at ₹1.2 lakh, ₹1.8 lakh and ₹2.4 lakh eligible annual spend.</t>
        </is>
      </c>
      <c r="Q253" s="4" t="inlineStr">
        <is>
          <t>0% convenience fee at HPCL for transactions below ₹5,000; other fuel-convenience fees vary by oil company/transaction under Amex schedule.</t>
        </is>
      </c>
      <c r="R253" s="4" t="inlineStr">
        <is>
          <t>Welcome ₹500 cashback after ₹10,000 eligible spend within 90 days plus fee conditions.</t>
        </is>
      </c>
      <c r="S253" s="5" t="inlineStr">
        <is>
          <t>https://www.americanexpress.com/in/credit-cards/all-cards/
https://www.americanexpress.com/content/dam/amex/in/legal-disclosures/Schedule-of-Fee-and-Charges.pdf?inav=in_sitefooter_top_links_schedule_of_fees_and_charges</t>
        </is>
      </c>
      <c r="T253" s="2" t="inlineStr">
        <is>
          <t>Schedule of Fees updated 2025-08-31; current product page accessed 2026-09-09</t>
        </is>
      </c>
    </row>
    <row r="254" ht="46" customHeight="1">
      <c r="A254" s="2" t="inlineStr">
        <is>
          <t>American Express India</t>
        </is>
      </c>
      <c r="B254" s="3" t="inlineStr">
        <is>
          <t>Selectable</t>
        </is>
      </c>
      <c r="C254" s="4" t="inlineStr">
        <is>
          <t>American Express Membership Rewards Credit Card</t>
        </is>
      </c>
      <c r="D254" s="4" t="inlineStr">
        <is>
          <t>1 MR Point/₹50 on eligible spends.</t>
        </is>
      </c>
      <c r="E254" s="4" t="inlineStr">
        <is>
          <t>1,000 bonus MR monthly for 4 transactions of at least ₹1,500 each; additional 1,000 MR at ₹20,000 monthly spend if enrolled/eligible under current programme.</t>
        </is>
      </c>
      <c r="F254" s="4" t="inlineStr"/>
      <c r="G254" s="4" t="inlineStr"/>
      <c r="H254" s="4" t="inlineStr"/>
      <c r="I254" s="4" t="inlineStr">
        <is>
          <t>Fuel, insurance, utilities, cash and POS EMI excluded from base reward earning under current programme.</t>
        </is>
      </c>
      <c r="J254" s="4" t="inlineStr"/>
      <c r="K254" s="4" t="inlineStr">
        <is>
          <t>₹1,000 + taxes (first year)</t>
        </is>
      </c>
      <c r="L254" s="4" t="inlineStr">
        <is>
          <t>₹4,500 + taxes (second year onward)</t>
        </is>
      </c>
      <c r="M254" s="4" t="inlineStr">
        <is>
          <t>100% waiver at ≥₹1.5 lakh eligible annual spend; 50% waiver at ₹90,000–₹149,999 under current fee programme.</t>
        </is>
      </c>
      <c r="N254" s="4" t="inlineStr">
        <is>
          <t>3.50%</t>
        </is>
      </c>
      <c r="O254" s="4" t="inlineStr"/>
      <c r="P254" s="4" t="inlineStr">
        <is>
          <t>Welcome 4,000 MR after ₹15,000 eligible spend within 90 days plus fee conditions.</t>
        </is>
      </c>
      <c r="Q254" s="4" t="inlineStr">
        <is>
          <t>0% convenience fee at HPCL below ₹5,000; other oil-company convenience fees per Amex schedule.</t>
        </is>
      </c>
      <c r="R254" s="4" t="inlineStr"/>
      <c r="S254" s="5" t="inlineStr">
        <is>
          <t>https://www.americanexpress.com/in/credit-cards/all-cards/
https://www.americanexpress.com/content/dam/amex/in/legal-disclosures/Schedule-of-Fee-and-Charges.pdf?inav=in_sitefooter_top_links_schedule_of_fees_and_charges</t>
        </is>
      </c>
      <c r="T254" s="2" t="inlineStr">
        <is>
          <t>Schedule of Fees updated 2025-08-31; current product page accessed 2026-09-09</t>
        </is>
      </c>
    </row>
    <row r="255" ht="46" customHeight="1">
      <c r="A255" s="2" t="inlineStr">
        <is>
          <t>American Express India</t>
        </is>
      </c>
      <c r="B255" s="3" t="inlineStr">
        <is>
          <t>Selectable</t>
        </is>
      </c>
      <c r="C255" s="4" t="inlineStr">
        <is>
          <t>American Express Platinum Travel Credit Card</t>
        </is>
      </c>
      <c r="D255" s="4" t="inlineStr">
        <is>
          <t>1 MR Point/₹50 on eligible spends.</t>
        </is>
      </c>
      <c r="E255" s="4" t="inlineStr"/>
      <c r="F255" s="4" t="inlineStr"/>
      <c r="G255" s="4" t="inlineStr"/>
      <c r="H255" s="4" t="inlineStr"/>
      <c r="I255" s="4" t="inlineStr">
        <is>
          <t>Fuel, insurance, utilities, cash and POS EMI excluded from base reward earning under current programme.</t>
        </is>
      </c>
      <c r="J255" s="4" t="inlineStr"/>
      <c r="K255" s="4" t="inlineStr">
        <is>
          <t>₹5,000 + taxes</t>
        </is>
      </c>
      <c r="L255" s="4" t="inlineStr">
        <is>
          <t>₹5,000 + taxes</t>
        </is>
      </c>
      <c r="M255" s="4" t="inlineStr"/>
      <c r="N255" s="4" t="inlineStr">
        <is>
          <t>3.50%</t>
        </is>
      </c>
      <c r="O255" s="4" t="inlineStr">
        <is>
          <t>8 domestic lounge visits/year, max 2/quarter under current programme; Priority Pass membership fee is bundled/waived but visit charges depend on programme terms.</t>
        </is>
      </c>
      <c r="P255" s="4" t="inlineStr">
        <is>
          <t>Published spend milestones include 7,500 MR at ₹1.9 lakh, 10,000 MR at ₹4 lakh, 22,500 MR at ₹7 lakh plus ₹10,000 Taj benefit at the ₹7 lakh level, subject to current terms.</t>
        </is>
      </c>
      <c r="Q255" s="4" t="inlineStr"/>
      <c r="R255" s="4" t="inlineStr">
        <is>
          <t>Welcome 10,000 MR after ₹15,000 eligible spend within 90 days plus fee conditions.</t>
        </is>
      </c>
      <c r="S255" s="5" t="inlineStr">
        <is>
          <t>https://www.americanexpress.com/in/credit-cards/all-cards/
https://www.americanexpress.com/content/dam/amex/in/legal-disclosures/Schedule-of-Fee-and-Charges.pdf?inav=in_sitefooter_top_links_schedule_of_fees_and_charges</t>
        </is>
      </c>
      <c r="T255" s="2" t="inlineStr">
        <is>
          <t>Schedule of Fees updated 2025-08-31; current product page accessed 2026-09-09</t>
        </is>
      </c>
    </row>
    <row r="256" ht="46" customHeight="1">
      <c r="A256" s="2" t="inlineStr">
        <is>
          <t>American Express India</t>
        </is>
      </c>
      <c r="B256" s="3" t="inlineStr">
        <is>
          <t>Selectable</t>
        </is>
      </c>
      <c r="C256" s="4" t="inlineStr">
        <is>
          <t>American Express Platinum Card</t>
        </is>
      </c>
      <c r="D256" s="4" t="inlineStr"/>
      <c r="E256" s="4" t="inlineStr">
        <is>
          <t>Current Platinum programme advertises enhanced overseas earning (e.g., 3X on eligible overseas spends).</t>
        </is>
      </c>
      <c r="F256" s="4" t="inlineStr"/>
      <c r="G256" s="4" t="inlineStr"/>
      <c r="H256" s="4" t="inlineStr"/>
      <c r="I256" s="4" t="inlineStr"/>
      <c r="J256" s="4" t="inlineStr"/>
      <c r="K256" s="4" t="inlineStr">
        <is>
          <t>₹66,000 + taxes (first-year/annual charge-card fee per current schedule).</t>
        </is>
      </c>
      <c r="L256" s="4" t="inlineStr">
        <is>
          <t>₹66,000 + taxes</t>
        </is>
      </c>
      <c r="M256" s="4" t="inlineStr"/>
      <c r="N256" s="4" t="inlineStr">
        <is>
          <t>3.50%</t>
        </is>
      </c>
      <c r="O256" s="4" t="inlineStr">
        <is>
          <t>Access to American Express Global Lounge Collection (1,400+ locations advertised), subject to current network/guest rules.</t>
        </is>
      </c>
      <c r="P256" s="4" t="inlineStr"/>
      <c r="Q256" s="4" t="inlineStr"/>
      <c r="R256" s="4" t="inlineStr">
        <is>
          <t>Current welcome benefit advertised up to 60,000 MR points, subject to offer/eligibility.</t>
        </is>
      </c>
      <c r="S256" s="5" t="inlineStr">
        <is>
          <t>https://www.americanexpress.com/in/credit-cards/all-cards/
https://www.americanexpress.com/content/dam/amex/in/legal-disclosures/Schedule-of-Fee-and-Charges.pdf?inav=in_sitefooter_top_links_schedule_of_fees_and_charges</t>
        </is>
      </c>
      <c r="T256" s="2" t="inlineStr">
        <is>
          <t>Schedule of Fees updated 2025-08-31; current product page accessed 2026-09-09</t>
        </is>
      </c>
    </row>
    <row r="257" ht="46" customHeight="1">
      <c r="A257" s="2" t="inlineStr">
        <is>
          <t>American Express India</t>
        </is>
      </c>
      <c r="B257" s="3" t="inlineStr">
        <is>
          <t>Selectable</t>
        </is>
      </c>
      <c r="C257" s="4" t="inlineStr">
        <is>
          <t>American Express Platinum Reserve Credit Card</t>
        </is>
      </c>
      <c r="D257" s="4" t="inlineStr">
        <is>
          <t>1 Membership Rewards Point per ₹50 on eligible spends.</t>
        </is>
      </c>
      <c r="E257" s="4" t="inlineStr">
        <is>
          <t>Eligible Reward Multiplier/RewardXcelerator offers can provide 3X to 5X points at participating merchants/channels, subject to campaign terms.</t>
        </is>
      </c>
      <c r="F257" s="4" t="inlineStr"/>
      <c r="G257" s="4" t="inlineStr"/>
      <c r="H257" s="4" t="inlineStr"/>
      <c r="I257" s="4" t="inlineStr"/>
      <c r="J257" s="4" t="inlineStr"/>
      <c r="K257" s="4" t="inlineStr">
        <is>
          <t>₹10,000 + taxes</t>
        </is>
      </c>
      <c r="L257" s="4" t="inlineStr">
        <is>
          <t>₹10,000 + taxes</t>
        </is>
      </c>
      <c r="M257" s="4" t="inlineStr"/>
      <c r="N257" s="4" t="inlineStr">
        <is>
          <t>3.50%</t>
        </is>
      </c>
      <c r="O257" s="4" t="inlineStr">
        <is>
          <t>Domestic/international lounge benefits under current Platinum Reserve programme.</t>
        </is>
      </c>
      <c r="P257" s="4" t="inlineStr"/>
      <c r="Q257" s="4" t="inlineStr"/>
      <c r="R257" s="4" t="inlineStr">
        <is>
          <t>Current premium programme includes golf, Accor Plus and lifestyle benefits; welcome 11,000 MR under current offer terms.</t>
        </is>
      </c>
      <c r="S257" s="5" t="inlineStr">
        <is>
          <t>https://www.americanexpress.com/in/credit-cards/all-cards/
https://www.americanexpress.com/content/dam/amex/in/legal-disclosures/Schedule-of-Fee-and-Charges.pdf?inav=in_sitefooter_top_links_schedule_of_fees_and_charges</t>
        </is>
      </c>
      <c r="T257" s="2" t="inlineStr">
        <is>
          <t>Schedule of Fees updated 2025-08-31; current product page accessed 2026-09-09</t>
        </is>
      </c>
      <c r="U257" s="5" t="inlineStr">
        <is>
          <t>https://www.americanexpress.com/in/credit-cards/platinum-reserve-credit-card/</t>
        </is>
      </c>
      <c r="V257" s="2" t="inlineStr">
        <is>
          <t>Official issuer</t>
        </is>
      </c>
      <c r="W257" s="2" t="inlineStr">
        <is>
          <t>2026-09-09</t>
        </is>
      </c>
      <c r="X257" s="2" t="inlineStr">
        <is>
          <t>Second-pass reward/cashback research; populated only from located source material.</t>
        </is>
      </c>
    </row>
    <row r="258" ht="46" customHeight="1">
      <c r="A258" s="2" t="inlineStr">
        <is>
          <t>American Express India</t>
        </is>
      </c>
      <c r="B258" s="3" t="inlineStr">
        <is>
          <t>Selectable</t>
        </is>
      </c>
      <c r="C258" s="4" t="inlineStr">
        <is>
          <t>American Express Gold Card</t>
        </is>
      </c>
      <c r="D258" s="4" t="inlineStr">
        <is>
          <t>1 MR Point/₹50 on eligible spends; utilities are included in current Gold earning rules.</t>
        </is>
      </c>
      <c r="E258" s="4" t="inlineStr">
        <is>
          <t>1,000 bonus MR monthly for 6 transactions of at least ₹1,000 each under current programme.</t>
        </is>
      </c>
      <c r="F258" s="4" t="inlineStr"/>
      <c r="G258" s="4" t="inlineStr"/>
      <c r="H258" s="4" t="inlineStr"/>
      <c r="I258" s="4" t="inlineStr"/>
      <c r="J258" s="4" t="inlineStr"/>
      <c r="K258" s="4" t="inlineStr">
        <is>
          <t>₹1,000 + taxes (first year)</t>
        </is>
      </c>
      <c r="L258" s="4" t="inlineStr">
        <is>
          <t>₹4,500 + taxes (second year onward)</t>
        </is>
      </c>
      <c r="M258" s="4" t="inlineStr"/>
      <c r="N258" s="4" t="inlineStr">
        <is>
          <t>3.50%</t>
        </is>
      </c>
      <c r="O258" s="4" t="inlineStr"/>
      <c r="P258" s="4" t="inlineStr">
        <is>
          <t>Welcome 4,000 MR after ₹10,000 eligible spend within 90 days plus fee conditions.</t>
        </is>
      </c>
      <c r="Q258" s="4" t="inlineStr">
        <is>
          <t>0% convenience fee at HPCL below ₹5,000; other fuel-convenience fees per Amex schedule.</t>
        </is>
      </c>
      <c r="R258" s="4" t="inlineStr"/>
      <c r="S258" s="5" t="inlineStr">
        <is>
          <t>https://www.americanexpress.com/in/credit-cards/all-cards/
https://www.americanexpress.com/content/dam/amex/in/legal-disclosures/Schedule-of-Fee-and-Charges.pdf?inav=in_sitefooter_top_links_schedule_of_fees_and_charges</t>
        </is>
      </c>
      <c r="T258" s="2" t="inlineStr">
        <is>
          <t>Schedule of Fees updated 2025-08-31; current product page accessed 2026-09-09</t>
        </is>
      </c>
    </row>
    <row r="259" ht="34" customHeight="1">
      <c r="A259" s="2" t="inlineStr">
        <is>
          <t>HSBC India</t>
        </is>
      </c>
      <c r="B259" s="3" t="inlineStr">
        <is>
          <t>Selectable</t>
        </is>
      </c>
      <c r="C259" s="4" t="inlineStr">
        <is>
          <t>HSBC Live+ Credit Card</t>
        </is>
      </c>
      <c r="D259" s="4" t="inlineStr">
        <is>
          <t>1.5% cashback on other eligible spends under current programme.</t>
        </is>
      </c>
      <c r="E259" s="4" t="inlineStr">
        <is>
          <t>10% cashback on eligible dining, food delivery, grocery, shopping and utility categories; category cap/eligibility applies.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>
        <is>
          <t>1.99%</t>
        </is>
      </c>
      <c r="O259" s="4" t="inlineStr">
        <is>
          <t>Domestic/international lounge entitlement published for current Live+ programme; exact visit period/caps should be checked on card page.</t>
        </is>
      </c>
      <c r="P259" s="4" t="inlineStr"/>
      <c r="Q259" s="4" t="inlineStr"/>
      <c r="R259" s="4" t="inlineStr"/>
      <c r="S259" s="5" t="inlineStr">
        <is>
          <t>https://www.hsbc.bank.in/credit-cards/</t>
        </is>
      </c>
      <c r="T259" s="2" t="inlineStr">
        <is>
          <t>Current official product page accessed 2026-09-09</t>
        </is>
      </c>
    </row>
    <row r="260" ht="34" customHeight="1">
      <c r="A260" s="2" t="inlineStr">
        <is>
          <t>HSBC India</t>
        </is>
      </c>
      <c r="B260" s="3" t="inlineStr">
        <is>
          <t>Selectable</t>
        </is>
      </c>
      <c r="C260" s="4" t="inlineStr">
        <is>
          <t>HSBC TravelOne Credit Card</t>
        </is>
      </c>
      <c r="D260" s="4" t="inlineStr">
        <is>
          <t>2 Reward Points/₹100 on other eligible spends.</t>
        </is>
      </c>
      <c r="E260" s="4" t="inlineStr">
        <is>
          <t>4 RP/₹100 on eligible flight/travel-aggregator/foreign-currency spends.</t>
        </is>
      </c>
      <c r="F260" s="4" t="inlineStr"/>
      <c r="G260" s="4" t="inlineStr">
        <is>
          <t>No cap on base earn stated in current programme; transfer/redemption rules apply.</t>
        </is>
      </c>
      <c r="H260" s="4" t="inlineStr"/>
      <c r="I260" s="4" t="inlineStr"/>
      <c r="J260" s="4" t="inlineStr"/>
      <c r="K260" s="4" t="inlineStr">
        <is>
          <t>₹4,999 + taxes</t>
        </is>
      </c>
      <c r="L260" s="4" t="inlineStr">
        <is>
          <t>₹4,999 + taxes</t>
        </is>
      </c>
      <c r="M260" s="4" t="inlineStr">
        <is>
          <t>Annual fee waiver above ₹8 lakh eligible annual spend under current terms.</t>
        </is>
      </c>
      <c r="N260" s="4" t="inlineStr"/>
      <c r="O260" s="4" t="inlineStr">
        <is>
          <t>6 domestic + 4 international lounge visits/year under current programme.</t>
        </is>
      </c>
      <c r="P260" s="4" t="inlineStr">
        <is>
          <t>10,000 bonus RP at &gt;₹12 lakh eligible annual spend.</t>
        </is>
      </c>
      <c r="Q260" s="4" t="inlineStr"/>
      <c r="R260" s="4" t="inlineStr">
        <is>
          <t>1:1 transfer to participating airline miles; published golf benefit includes rounds/lessons subject to terms.</t>
        </is>
      </c>
      <c r="S260" s="5" t="inlineStr">
        <is>
          <t>https://www.hsbc.bank.in/credit-cards/</t>
        </is>
      </c>
      <c r="T260" s="2" t="inlineStr">
        <is>
          <t>Current official product page accessed 2026-09-09</t>
        </is>
      </c>
    </row>
    <row r="261" ht="34" customHeight="1">
      <c r="A261" s="2" t="inlineStr">
        <is>
          <t>HSBC India</t>
        </is>
      </c>
      <c r="B261" s="3" t="inlineStr">
        <is>
          <t>Selectable</t>
        </is>
      </c>
      <c r="C261" s="4" t="inlineStr">
        <is>
          <t>HSBC RuPay Cashback Credit Card</t>
        </is>
      </c>
      <c r="D261" s="4" t="inlineStr">
        <is>
          <t>1% cashback on other eligible spends.</t>
        </is>
      </c>
      <c r="E261" s="4" t="inlineStr">
        <is>
          <t>10% cashback on eligible dining, food and grocery categories under current programme.</t>
        </is>
      </c>
      <c r="F261" s="4" t="inlineStr">
        <is>
          <t>N/A – cashback.</t>
        </is>
      </c>
      <c r="G261" s="4" t="inlineStr"/>
      <c r="H261" s="4" t="inlineStr"/>
      <c r="I261" s="4" t="inlineStr"/>
      <c r="J261" s="4" t="inlineStr"/>
      <c r="K261" s="4" t="inlineStr"/>
      <c r="L261" s="4" t="inlineStr">
        <is>
          <t>₹499 + taxes</t>
        </is>
      </c>
      <c r="M261" s="4" t="inlineStr">
        <is>
          <t>Annual fee refunded/waived at more than ₹2 lakh eligible annual spend under current programme.</t>
        </is>
      </c>
      <c r="N261" s="4" t="inlineStr">
        <is>
          <t>0%</t>
        </is>
      </c>
      <c r="O261" s="4" t="inlineStr">
        <is>
          <t>2 domestic lounge visits/quarter + 2 international visits/year under current programme.</t>
        </is>
      </c>
      <c r="P261" s="4" t="inlineStr"/>
      <c r="Q261" s="4" t="inlineStr"/>
      <c r="R261" s="4" t="inlineStr"/>
      <c r="S261" s="5" t="inlineStr">
        <is>
          <t>https://www.hsbc.bank.in/credit-cards/</t>
        </is>
      </c>
      <c r="T261" s="2" t="inlineStr">
        <is>
          <t>Current official product page accessed 2026-09-09</t>
        </is>
      </c>
    </row>
    <row r="262" ht="34" customHeight="1">
      <c r="A262" s="2" t="inlineStr">
        <is>
          <t>HSBC India</t>
        </is>
      </c>
      <c r="B262" s="3" t="inlineStr">
        <is>
          <t>Selectable</t>
        </is>
      </c>
      <c r="C262" s="4" t="inlineStr">
        <is>
          <t>HSBC Premier Credit Card</t>
        </is>
      </c>
      <c r="D262" s="4" t="inlineStr">
        <is>
          <t>3 Reward Points/₹100 on eligible spends.</t>
        </is>
      </c>
      <c r="E262" s="4" t="inlineStr">
        <is>
          <t>Up to 12X rewards on eligible travel categories under current programme.</t>
        </is>
      </c>
      <c r="F262" s="4" t="inlineStr">
        <is>
          <t>HSBC states 1 point = ₹1 at Apple; participating transfer partners may support 1:1 conversions. Value varies by redemption.</t>
        </is>
      </c>
      <c r="G262" s="4" t="inlineStr"/>
      <c r="H262" s="4" t="inlineStr"/>
      <c r="I262" s="4" t="inlineStr"/>
      <c r="J262" s="4" t="inlineStr"/>
      <c r="K262" s="4" t="inlineStr">
        <is>
          <t>₹12,000 + taxes</t>
        </is>
      </c>
      <c r="L262" s="4" t="inlineStr">
        <is>
          <t>₹20,000 + taxes</t>
        </is>
      </c>
      <c r="M262" s="4" t="inlineStr">
        <is>
          <t>Annual fee waived for qualifying HSBC Premier relationship, subject to current eligibility.</t>
        </is>
      </c>
      <c r="N262" s="4" t="inlineStr">
        <is>
          <t>0.99%</t>
        </is>
      </c>
      <c r="O262" s="4" t="inlineStr">
        <is>
          <t>Unlimited domestic and international lounge access under current programme; 8 international guest visits published.</t>
        </is>
      </c>
      <c r="P262" s="4" t="inlineStr">
        <is>
          <t>Welcome 20,000 Reward Points under current programme.</t>
        </is>
      </c>
      <c r="Q262" s="4" t="inlineStr">
        <is>
          <t>1% waiver on eligible fuel transactions ₹400–₹4,000 under current terms.</t>
        </is>
      </c>
      <c r="R262" s="4" t="inlineStr"/>
      <c r="S262" s="5" t="inlineStr">
        <is>
          <t>https://www.hsbc.bank.in/credit-cards/</t>
        </is>
      </c>
      <c r="T262" s="2" t="inlineStr">
        <is>
          <t>Current official product page accessed 2026-09-09</t>
        </is>
      </c>
    </row>
    <row r="263" ht="46" customHeight="1">
      <c r="A263" s="2" t="inlineStr">
        <is>
          <t>HSBC India</t>
        </is>
      </c>
      <c r="B263" s="3" t="inlineStr">
        <is>
          <t>Selectable</t>
        </is>
      </c>
      <c r="C263" s="4" t="inlineStr">
        <is>
          <t>HSBC Taj Credit Card</t>
        </is>
      </c>
      <c r="D263" s="4" t="inlineStr">
        <is>
          <t>1.5 Reward Points/₹100 on eligible spends.</t>
        </is>
      </c>
      <c r="E263" s="4" t="inlineStr">
        <is>
          <t>5 RP/₹100 on eligible Taj/IHCL spends under current programme.</t>
        </is>
      </c>
      <c r="F263" s="4" t="inlineStr">
        <is>
          <t>1.5 RP = ₹1 in HSBC Taj Wallet under current programme.</t>
        </is>
      </c>
      <c r="G263" s="4" t="inlineStr"/>
      <c r="H263" s="4" t="inlineStr"/>
      <c r="I263" s="4" t="inlineStr"/>
      <c r="J263" s="4" t="inlineStr"/>
      <c r="K263" s="4" t="inlineStr">
        <is>
          <t>₹110,000 + taxes</t>
        </is>
      </c>
      <c r="L263" s="4" t="inlineStr">
        <is>
          <t>₹110,000 + taxes</t>
        </is>
      </c>
      <c r="M263" s="4" t="inlineStr"/>
      <c r="N263" s="4" t="inlineStr"/>
      <c r="O263" s="4" t="inlineStr">
        <is>
          <t>Unlimited global lounge access under current premium programme.</t>
        </is>
      </c>
      <c r="P263" s="4" t="inlineStr">
        <is>
          <t>Welcome programme includes two breakfast-inclusive nights plus one Taj Palace night on activation; current offer may include an additional Taj Palace voucher through 2026-09-30, subject to terms.</t>
        </is>
      </c>
      <c r="Q263" s="4" t="inlineStr"/>
      <c r="R263" s="4" t="inlineStr">
        <is>
          <t>Published chauffeur airport transfers, BookMyShow and extensive Taj/IHCL benefits.</t>
        </is>
      </c>
      <c r="S263" s="5" t="inlineStr">
        <is>
          <t>https://www.hsbc.bank.in/credit-cards/</t>
        </is>
      </c>
      <c r="T263" s="2" t="inlineStr">
        <is>
          <t>Current official product page accessed 2026-09-09</t>
        </is>
      </c>
    </row>
    <row r="264" ht="22" customHeight="1">
      <c r="A264" s="2" t="inlineStr">
        <is>
          <t>HSBC India</t>
        </is>
      </c>
      <c r="B264" s="3" t="inlineStr">
        <is>
          <t>Selectable</t>
        </is>
      </c>
      <c r="C264" s="4" t="inlineStr">
        <is>
          <t>HSBC Visa Platinum Credit Card</t>
        </is>
      </c>
      <c r="D264" s="4" t="inlineStr">
        <is>
          <t>2 Reward Points per ₹150 on eligible spends.</t>
        </is>
      </c>
      <c r="E264" s="4" t="inlineStr">
        <is>
          <t>Up to 6X rewards on selected travel offers and up to 5X at specified Apple/Unicorn offers, subject to current promotion terms.</t>
        </is>
      </c>
      <c r="F264" s="4" t="inlineStr"/>
      <c r="G264" s="4" t="inlineStr"/>
      <c r="H264" s="4" t="inlineStr"/>
      <c r="I264" s="4" t="inlineStr"/>
      <c r="J264" s="4" t="inlineStr"/>
      <c r="K264" s="4" t="inlineStr">
        <is>
          <t>Nil</t>
        </is>
      </c>
      <c r="L264" s="4" t="inlineStr">
        <is>
          <t>Nil</t>
        </is>
      </c>
      <c r="M264" s="4" t="inlineStr"/>
      <c r="N264" s="4" t="inlineStr"/>
      <c r="O264" s="4" t="inlineStr"/>
      <c r="P264" s="4" t="inlineStr"/>
      <c r="Q264" s="4" t="inlineStr"/>
      <c r="R264" s="4" t="inlineStr"/>
      <c r="S264" s="5" t="inlineStr">
        <is>
          <t>https://www.hsbc.bank.in/credit-cards/</t>
        </is>
      </c>
      <c r="T264" s="2" t="inlineStr">
        <is>
          <t>Current official product page accessed 2026-09-09</t>
        </is>
      </c>
      <c r="U264" s="5" t="inlineStr">
        <is>
          <t>https://www.hsbc.bank.in/credit-cards/products/visa-platinum/rewards/</t>
        </is>
      </c>
      <c r="V264" s="2" t="inlineStr">
        <is>
          <t>Official issuer</t>
        </is>
      </c>
      <c r="W264" s="2" t="inlineStr">
        <is>
          <t>2026-09-09</t>
        </is>
      </c>
      <c r="X264" s="2" t="inlineStr">
        <is>
          <t>Second-pass reward/cashback research; populated only from located source material.</t>
        </is>
      </c>
    </row>
    <row r="265" ht="34" customHeight="1">
      <c r="A265" s="2" t="inlineStr">
        <is>
          <t>HSBC India</t>
        </is>
      </c>
      <c r="B265" s="3" t="inlineStr">
        <is>
          <t>Selectable</t>
        </is>
      </c>
      <c r="C265" s="4" t="inlineStr">
        <is>
          <t>HSBC RuPay Platinum Credit Card</t>
        </is>
      </c>
      <c r="D265" s="4" t="inlineStr">
        <is>
          <t>2 Reward Points/₹150 on eligible spends under current programme.</t>
        </is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>
        <is>
          <t>Nil</t>
        </is>
      </c>
      <c r="L265" s="4" t="inlineStr">
        <is>
          <t>Nil</t>
        </is>
      </c>
      <c r="M265" s="4" t="inlineStr"/>
      <c r="N265" s="4" t="inlineStr"/>
      <c r="O265" s="4" t="inlineStr"/>
      <c r="P265" s="4" t="inlineStr"/>
      <c r="Q265" s="4" t="inlineStr">
        <is>
          <t>Published fuel-surcharge benefit with annual savings cap under current programme.</t>
        </is>
      </c>
      <c r="R265" s="4" t="inlineStr">
        <is>
          <t>RuPay/UPI functionality under current product.</t>
        </is>
      </c>
      <c r="S265" s="5" t="inlineStr">
        <is>
          <t>https://www.hsbc.bank.in/credit-cards/</t>
        </is>
      </c>
      <c r="T265" s="2" t="inlineStr">
        <is>
          <t>Current official product page accessed 2026-09-09</t>
        </is>
      </c>
    </row>
    <row r="266" ht="34" customHeight="1">
      <c r="A266" s="2" t="inlineStr">
        <is>
          <t>Standard Chartered India</t>
        </is>
      </c>
      <c r="B266" s="3" t="inlineStr">
        <is>
          <t>Selectable</t>
        </is>
      </c>
      <c r="C266" s="4" t="inlineStr">
        <is>
          <t>Standard Chartered Rewards Credit Card</t>
        </is>
      </c>
      <c r="D266" s="4" t="inlineStr">
        <is>
          <t>4 Reward Points per ₹150 on eligible retail spends.</t>
        </is>
      </c>
      <c r="E266" s="4" t="inlineStr">
        <is>
          <t>Additional 4 Reward Points per ₹150 on eligible spends after meeting the published monthly spend threshold, subject to card terms.</t>
        </is>
      </c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5" t="inlineStr">
        <is>
          <t>https://www.sc.com/in/stories/what-gets-you-going-a-card-for-every-lifestyle/</t>
        </is>
      </c>
      <c r="T266" s="2" t="inlineStr">
        <is>
          <t>Official India page accessed 2026-09-09</t>
        </is>
      </c>
      <c r="U266" s="5" t="inlineStr">
        <is>
          <t>https://www.sc.bank.in/credit-cards/</t>
        </is>
      </c>
      <c r="V266" s="2" t="inlineStr">
        <is>
          <t>Official issuer</t>
        </is>
      </c>
      <c r="W266" s="2" t="inlineStr">
        <is>
          <t>2026-09-09</t>
        </is>
      </c>
      <c r="X266" s="2" t="inlineStr">
        <is>
          <t>Second-pass reward/cashback research; populated only from located source material.</t>
        </is>
      </c>
    </row>
    <row r="267" ht="34" customHeight="1">
      <c r="A267" s="2" t="inlineStr">
        <is>
          <t>Standard Chartered India</t>
        </is>
      </c>
      <c r="B267" s="3" t="inlineStr">
        <is>
          <t>Selectable</t>
        </is>
      </c>
      <c r="C267" s="4" t="inlineStr">
        <is>
          <t>Standard Chartered Smart Credit Card</t>
        </is>
      </c>
      <c r="D267" s="4" t="inlineStr">
        <is>
          <t>1% cashback on eligible offline spends excluding fuel.</t>
        </is>
      </c>
      <c r="E267" s="4" t="inlineStr">
        <is>
          <t>2% cashback on eligible online spends.</t>
        </is>
      </c>
      <c r="F267" s="4" t="inlineStr">
        <is>
          <t>N/A – cashback.</t>
        </is>
      </c>
      <c r="G267" s="4" t="inlineStr">
        <is>
          <t>Online cashback max ₹1,000/month; offline cashback max ₹500/month, implying up to ₹18,000/year at the published earn rates/caps.</t>
        </is>
      </c>
      <c r="H267" s="4" t="inlineStr"/>
      <c r="I267" s="4" t="inlineStr"/>
      <c r="J267" s="4" t="inlineStr"/>
      <c r="K267" s="4" t="inlineStr"/>
      <c r="L267" s="4" t="inlineStr">
        <is>
          <t>₹499 (published current product fee).</t>
        </is>
      </c>
      <c r="M267" s="4" t="inlineStr">
        <is>
          <t>Renewal fee reversal above ₹1.2 lakh eligible annual spend from second year under current product terms.</t>
        </is>
      </c>
      <c r="N267" s="4" t="inlineStr"/>
      <c r="O267" s="4" t="inlineStr"/>
      <c r="P267" s="4" t="inlineStr"/>
      <c r="Q267" s="4" t="inlineStr"/>
      <c r="R267" s="4" t="inlineStr"/>
      <c r="S267" s="5" t="inlineStr">
        <is>
          <t>https://www.sc.com/in/stories/cc-smart-card-assured-eighteenk-cashback/</t>
        </is>
      </c>
      <c r="T267" s="2" t="inlineStr">
        <is>
          <t>Current official India page accessed 2026-09-09</t>
        </is>
      </c>
    </row>
    <row r="268" ht="34" customHeight="1">
      <c r="A268" s="2" t="inlineStr">
        <is>
          <t>Standard Chartered India</t>
        </is>
      </c>
      <c r="B268" s="3" t="inlineStr">
        <is>
          <t>Selectable</t>
        </is>
      </c>
      <c r="C268" s="4" t="inlineStr">
        <is>
          <t>Standard Chartered EaseMyTrip Credit Card</t>
        </is>
      </c>
      <c r="D268" s="4" t="inlineStr">
        <is>
          <t>2 Reward Points per ₹100 on eligible spends.</t>
        </is>
      </c>
      <c r="E268" s="4" t="inlineStr">
        <is>
          <t>10 Reward Points per ₹100 on eligible standalone hotel and airline spends.</t>
        </is>
      </c>
      <c r="F268" s="4" t="inlineStr">
        <is>
          <t>1 Reward Point = about ₹0.25 under the card redemption proposition.</t>
        </is>
      </c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>
        <is>
          <t>Official current application page advertises flat 20% off on eligible hotels and 10% off on eligible flights, subject to booking/offer terms.</t>
        </is>
      </c>
      <c r="S268" s="5" t="inlineStr">
        <is>
          <t>https://www.sc.com/in/personal/apply-online/</t>
        </is>
      </c>
      <c r="T268" s="2" t="inlineStr">
        <is>
          <t>Current official India application page accessed 2026-09-09</t>
        </is>
      </c>
      <c r="U268" s="5" t="inlineStr">
        <is>
          <t>https://www.sc.bank.in/credit-cards/easemytrip-credit-card/</t>
        </is>
      </c>
      <c r="V268" s="2" t="inlineStr">
        <is>
          <t>Official issuer</t>
        </is>
      </c>
      <c r="W268" s="2" t="inlineStr">
        <is>
          <t>2026-09-09</t>
        </is>
      </c>
      <c r="X268" s="2" t="inlineStr">
        <is>
          <t>Second-pass reward/cashback research; populated only from located source material.</t>
        </is>
      </c>
    </row>
    <row r="269" ht="46" customHeight="1">
      <c r="A269" s="2" t="inlineStr">
        <is>
          <t>Standard Chartered India</t>
        </is>
      </c>
      <c r="B269" s="3" t="inlineStr">
        <is>
          <t>Selectable</t>
        </is>
      </c>
      <c r="C269" s="4" t="inlineStr">
        <is>
          <t>Standard Chartered Ultimate Credit Card</t>
        </is>
      </c>
      <c r="D269" s="4" t="inlineStr">
        <is>
          <t>5 Reward Points per ₹150 on eligible spends.</t>
        </is>
      </c>
      <c r="E269" s="4" t="inlineStr">
        <is>
          <t>Selected categories such as utilities, supermarkets, insurance, property, schools and government may earn a lower 3 points per ₹150 rather than the base rate.</t>
        </is>
      </c>
      <c r="F269" s="4" t="inlineStr">
        <is>
          <t>1 Reward Point = ₹1 under Ultimate redemption proposition.</t>
        </is>
      </c>
      <c r="G269" s="4" t="inlineStr"/>
      <c r="H269" s="4" t="inlineStr"/>
      <c r="I269" s="4" t="inlineStr">
        <is>
          <t>Current issuer promotional T&amp;C exclude tax, investments, wallet, insurance, government, rent and education from specified spend offers; base reward exclusions may differ.</t>
        </is>
      </c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5" t="inlineStr">
        <is>
          <t>https://www.sc.com/in/terms-and-conditions/ultimate-festive-offers-tnc/</t>
        </is>
      </c>
      <c r="T269" s="2" t="inlineStr">
        <is>
          <t>Current official issuer T&amp;C accessed 2026-09-09</t>
        </is>
      </c>
      <c r="U269" s="5" t="inlineStr">
        <is>
          <t>https://www.sc.bank.in/employee-banking/ultimate-card/</t>
        </is>
      </c>
      <c r="V269" s="2" t="inlineStr">
        <is>
          <t>Official issuer</t>
        </is>
      </c>
      <c r="W269" s="2" t="inlineStr">
        <is>
          <t>2026-09-09</t>
        </is>
      </c>
      <c r="X269" s="2" t="inlineStr">
        <is>
          <t>Second-pass reward/cashback research; populated only from located source material.</t>
        </is>
      </c>
    </row>
    <row r="270" ht="34" customHeight="1">
      <c r="A270" s="2" t="inlineStr">
        <is>
          <t>Standard Chartered India</t>
        </is>
      </c>
      <c r="B270" s="3" t="inlineStr">
        <is>
          <t>Selectable</t>
        </is>
      </c>
      <c r="C270" s="4" t="inlineStr">
        <is>
          <t>Standard Chartered Platinum Rewards Credit Card</t>
        </is>
      </c>
      <c r="D270" s="4" t="inlineStr">
        <is>
          <t>1 Reward Point/₹150 on other eligible categories.</t>
        </is>
      </c>
      <c r="E270" s="4" t="inlineStr">
        <is>
          <t>5 Reward Points/₹150 on eligible dining and fuel spends, with no monthly cap stated in the official product story.</t>
        </is>
      </c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5" t="inlineStr">
        <is>
          <t>https://www.sc.com/in/stories/what-gets-you-going-a-card-for-every-lifestyle/</t>
        </is>
      </c>
      <c r="T270" s="2" t="inlineStr">
        <is>
          <t>Official India product story accessed 2026-09-09</t>
        </is>
      </c>
    </row>
    <row r="271" ht="34" customHeight="1">
      <c r="A271" s="2" t="inlineStr">
        <is>
          <t>Standard Chartered India</t>
        </is>
      </c>
      <c r="B271" s="6" t="inlineStr">
        <is>
          <t>Discontinued</t>
        </is>
      </c>
      <c r="C271" s="4" t="inlineStr">
        <is>
          <t>Standard Chartered Super Value Titanium Credit Card</t>
        </is>
      </c>
      <c r="D271" s="4" t="inlineStr">
        <is>
          <t>Legacy programme: 1 RP/₹150 on other eligible spends.</t>
        </is>
      </c>
      <c r="E271" s="4" t="inlineStr">
        <is>
          <t>Legacy programme: 5% cashback on eligible fuel, phone and utility bills.</t>
        </is>
      </c>
      <c r="F271" s="4" t="inlineStr">
        <is>
          <t>Cashback redemption rules revised; current legacy servicing page states minimum redemption ₹1,000 in multiples of ₹500 effective 2024-03-16.</t>
        </is>
      </c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5" t="inlineStr">
        <is>
          <t>https://www.sc.com/in/stories/what-gets-you-going-a-card-for-every-lifestyle/
https://www.sc.com/in/credit-cards/svt-manhattan-changes-faqs/</t>
        </is>
      </c>
      <c r="T271" s="2" t="inlineStr">
        <is>
          <t>Legacy programme; cashback-redemption revision effective 2024-03-16; card discontinued</t>
        </is>
      </c>
    </row>
    <row r="272" ht="34" customHeight="1">
      <c r="A272" s="2" t="inlineStr">
        <is>
          <t>Standard Chartered India</t>
        </is>
      </c>
      <c r="B272" s="6" t="inlineStr">
        <is>
          <t>Discontinued</t>
        </is>
      </c>
      <c r="C272" s="4" t="inlineStr">
        <is>
          <t>Standard Chartered Manhattan Platinum Credit Card</t>
        </is>
      </c>
      <c r="D272" s="4" t="inlineStr"/>
      <c r="E272" s="4" t="inlineStr">
        <is>
          <t>Legacy programme: 5% supermarket discount/cashback proposition plus 3X rewards on eligible spends under official issuer story.</t>
        </is>
      </c>
      <c r="F272" s="4" t="inlineStr">
        <is>
          <t>Legacy cashback redemption rules revised; official servicing FAQ applies to cardholders.</t>
        </is>
      </c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5" t="inlineStr">
        <is>
          <t>https://www.sc.com/in/stories/what-gets-you-going-a-card-for-every-lifestyle/
https://www.sc.com/in/credit-cards/svt-manhattan-changes-faqs/</t>
        </is>
      </c>
      <c r="T272" s="2" t="inlineStr">
        <is>
          <t>Legacy official programme; card discontinued</t>
        </is>
      </c>
    </row>
    <row r="273" ht="34" customHeight="1">
      <c r="A273" s="2" t="inlineStr">
        <is>
          <t>Standard Chartered India</t>
        </is>
      </c>
      <c r="B273" s="6" t="inlineStr">
        <is>
          <t>Discontinued</t>
        </is>
      </c>
      <c r="C273" s="4" t="inlineStr">
        <is>
          <t>Standard Chartered Priority Visa Infinite Credit Card</t>
        </is>
      </c>
      <c r="D273" s="4" t="inlineStr">
        <is>
          <t>Legacy official issuer story describes 2X rewards on other eligible spends for Visa Infinite.</t>
        </is>
      </c>
      <c r="E273" s="4" t="inlineStr">
        <is>
          <t>Legacy official issuer story describes 5X RP/₹100 on eligible overseas/retail-fashion spends.</t>
        </is>
      </c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5" t="inlineStr">
        <is>
          <t>https://www.sc.com/in/stories/what-gets-you-going-a-card-for-every-lifestyle/</t>
        </is>
      </c>
      <c r="T273" s="2" t="inlineStr">
        <is>
          <t>Legacy official programme; card discontinued</t>
        </is>
      </c>
    </row>
    <row r="274" ht="22" customHeight="1">
      <c r="A274" s="2" t="inlineStr">
        <is>
          <t>Standard Chartered India</t>
        </is>
      </c>
      <c r="B274" s="6" t="inlineStr">
        <is>
          <t>Discontinued</t>
        </is>
      </c>
      <c r="C274" s="4" t="inlineStr">
        <is>
          <t>Standard Chartered DigiSmart Credit Card</t>
        </is>
      </c>
      <c r="D274" s="4" t="inlineStr">
        <is>
          <t>No standard reward-point base earn; value is merchant-discount/cashback led.</t>
        </is>
      </c>
      <c r="E274" s="4" t="inlineStr">
        <is>
          <t>Published partner benefits include offers such as 15% on Ola, 20% on Myntra and 10% on Zomato, subject to merchant-specific caps/frequency.</t>
        </is>
      </c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5" t="inlineStr">
        <is>
          <t>https://www.sc.com/in/credit-cards/</t>
        </is>
      </c>
      <c r="T274" s="2" t="inlineStr">
        <is>
          <t>Legacy/current servicing material; card discontinued</t>
        </is>
      </c>
      <c r="U274" s="5" t="inlineStr">
        <is>
          <t>https://www.sc.bank.in/stories/credit-card/digismartcreditcard-casback-on-travel-shopping-movies-groceries-food-cab/</t>
        </is>
      </c>
      <c r="V274" s="2" t="inlineStr">
        <is>
          <t>Official issuer</t>
        </is>
      </c>
      <c r="W274" s="2" t="inlineStr">
        <is>
          <t>2026-09-09</t>
        </is>
      </c>
      <c r="X274" s="2" t="inlineStr">
        <is>
          <t>Second-pass reward/cashback research; populated only from located source material.</t>
        </is>
      </c>
    </row>
    <row r="275" ht="22" customHeight="1">
      <c r="A275" s="2" t="inlineStr">
        <is>
          <t>Standard Chartered India</t>
        </is>
      </c>
      <c r="B275" s="6" t="inlineStr">
        <is>
          <t>Discontinued</t>
        </is>
      </c>
      <c r="C275" s="4" t="inlineStr">
        <is>
          <t>Standard Chartered Beyond Credit Card</t>
        </is>
      </c>
      <c r="D275" s="4" t="inlineStr">
        <is>
          <t>5 Reward Points per ₹150 on eligible spends under the legacy proposition.</t>
        </is>
      </c>
      <c r="E275" s="4" t="inlineStr">
        <is>
          <t>Selected categories earn 3 Reward Points per ₹150; redemption value is higher than standard cards.</t>
        </is>
      </c>
      <c r="F275" s="4" t="inlineStr">
        <is>
          <t>1 Reward Point = ₹1 under the published Beyond/Ultimate-style proposition.</t>
        </is>
      </c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5" t="inlineStr">
        <is>
          <t>https://www.sc.com/in/credit-cards/</t>
        </is>
      </c>
      <c r="T275" s="2" t="inlineStr">
        <is>
          <t>Legacy/current servicing material; card discontinued</t>
        </is>
      </c>
      <c r="U275" s="5" t="inlineStr">
        <is>
          <t>https://www.sc.bank.in/credit-cards/beyond-credit-cards/</t>
        </is>
      </c>
      <c r="V275" s="2" t="inlineStr">
        <is>
          <t>Official issuer</t>
        </is>
      </c>
      <c r="W275" s="2" t="inlineStr">
        <is>
          <t>2026-09-09</t>
        </is>
      </c>
      <c r="X275" s="2" t="inlineStr">
        <is>
          <t>Discontinued; official legacy page remains accessible.</t>
        </is>
      </c>
    </row>
    <row r="276" ht="34" customHeight="1">
      <c r="A276" s="2" t="inlineStr">
        <is>
          <t>slice Small Finance Bank</t>
        </is>
      </c>
      <c r="B276" s="3" t="inlineStr">
        <is>
          <t>Selectable</t>
        </is>
      </c>
      <c r="C276" s="4" t="inlineStr">
        <is>
          <t>slice UPI Credit Card</t>
        </is>
      </c>
      <c r="D276" s="4" t="inlineStr">
        <is>
          <t>Up to 3% cashback on eligible scan-and-pay/card spends under current programme.</t>
        </is>
      </c>
      <c r="E276" s="4" t="inlineStr"/>
      <c r="F276" s="4" t="inlineStr">
        <is>
          <t>N/A – cashback.</t>
        </is>
      </c>
      <c r="G276" s="4" t="inlineStr"/>
      <c r="H276" s="4" t="inlineStr"/>
      <c r="I276" s="4" t="inlineStr"/>
      <c r="J276" s="4" t="inlineStr"/>
      <c r="K276" s="4" t="inlineStr">
        <is>
          <t>Nil</t>
        </is>
      </c>
      <c r="L276" s="4" t="inlineStr">
        <is>
          <t>Nil</t>
        </is>
      </c>
      <c r="M276" s="4" t="inlineStr"/>
      <c r="N276" s="4" t="inlineStr">
        <is>
          <t>0%</t>
        </is>
      </c>
      <c r="O276" s="4" t="inlineStr"/>
      <c r="P276" s="4" t="inlineStr"/>
      <c r="Q276" s="4" t="inlineStr"/>
      <c r="R276" s="4" t="inlineStr">
        <is>
          <t>slice in 3 interest-free instalment feature and Spark partner deals under current programme.</t>
        </is>
      </c>
      <c r="S276" s="5" t="inlineStr">
        <is>
          <t>https://slice.bank.in/credit-card/</t>
        </is>
      </c>
      <c r="T276" s="2" t="inlineStr">
        <is>
          <t>Current official product page accessed 2026-09-09</t>
        </is>
      </c>
    </row>
    <row r="277" ht="22" customHeight="1">
      <c r="A277" s="2" t="inlineStr">
        <is>
          <t>BOBCARD</t>
        </is>
      </c>
      <c r="B277" s="3" t="inlineStr">
        <is>
          <t>Selectable</t>
        </is>
      </c>
      <c r="C277" s="4" t="inlineStr">
        <is>
          <t>BOBCARD Cashback</t>
        </is>
      </c>
      <c r="D277" s="4" t="inlineStr">
        <is>
          <t>1% cashback on eligible other spends.</t>
        </is>
      </c>
      <c r="E277" s="4" t="inlineStr">
        <is>
          <t>5% cashback on eligible online spends.</t>
        </is>
      </c>
      <c r="F277" s="4" t="inlineStr"/>
      <c r="G277" s="4" t="inlineStr">
        <is>
          <t>Online accelerated cashback capped at ₹1,500/month under the current proposition.</t>
        </is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5" t="inlineStr">
        <is>
          <t>https://www.bobcard.co.in/compare-cards</t>
        </is>
      </c>
      <c r="T277" s="2" t="inlineStr">
        <is>
          <t>Current official comparison catalogue accessed 2026-09-09</t>
        </is>
      </c>
      <c r="U277" s="5" t="inlineStr">
        <is>
          <t>https://www.bobcard.co.in/credit-card-types/bobcard-cashback</t>
        </is>
      </c>
      <c r="V277" s="2" t="inlineStr">
        <is>
          <t>Official issuer</t>
        </is>
      </c>
      <c r="W277" s="2" t="inlineStr">
        <is>
          <t>2026-09-09</t>
        </is>
      </c>
      <c r="X277" s="2" t="inlineStr">
        <is>
          <t>Second-pass reward/cashback research; populated only from located source material.</t>
        </is>
      </c>
    </row>
    <row r="278" ht="22" customHeight="1">
      <c r="A278" s="2" t="inlineStr">
        <is>
          <t>BOBCARD</t>
        </is>
      </c>
      <c r="B278" s="3" t="inlineStr">
        <is>
          <t>Selectable</t>
        </is>
      </c>
      <c r="C278" s="4" t="inlineStr">
        <is>
          <t>BOBCARD SELECT</t>
        </is>
      </c>
      <c r="D278" s="4" t="inlineStr">
        <is>
          <t>1 Reward Point per ₹100 on eligible spends.</t>
        </is>
      </c>
      <c r="E278" s="4" t="inlineStr">
        <is>
          <t>5 Reward Points per ₹100 on eligible dining and online spends.</t>
        </is>
      </c>
      <c r="F278" s="4" t="inlineStr">
        <is>
          <t>1 Reward Point = about ₹0.20.</t>
        </is>
      </c>
      <c r="G278" s="4" t="inlineStr">
        <is>
          <t>Accelerated rewards subject to monthly cap (about 1,000 points under current terms).</t>
        </is>
      </c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5" t="inlineStr">
        <is>
          <t>https://www.bobcard.co.in/compare-cards</t>
        </is>
      </c>
      <c r="T278" s="2" t="inlineStr">
        <is>
          <t>Current official comparison catalogue accessed 2026-09-09</t>
        </is>
      </c>
      <c r="U278" s="5" t="inlineStr">
        <is>
          <t>https://www.bobcard.co.in/compare-cards</t>
        </is>
      </c>
      <c r="V278" s="2" t="inlineStr">
        <is>
          <t>Official issuer</t>
        </is>
      </c>
      <c r="W278" s="2" t="inlineStr">
        <is>
          <t>2026-09-09</t>
        </is>
      </c>
      <c r="X278" s="2" t="inlineStr">
        <is>
          <t>Second-pass reward/cashback research; populated only from located source material.</t>
        </is>
      </c>
    </row>
    <row r="279" ht="22" customHeight="1">
      <c r="A279" s="2" t="inlineStr">
        <is>
          <t>BOBCARD</t>
        </is>
      </c>
      <c r="B279" s="3" t="inlineStr">
        <is>
          <t>Selectable</t>
        </is>
      </c>
      <c r="C279" s="4" t="inlineStr">
        <is>
          <t>Snapdeal BOBCARD</t>
        </is>
      </c>
      <c r="D279" s="4" t="inlineStr">
        <is>
          <t>4 Reward Points per ₹100 on eligible other spends.</t>
        </is>
      </c>
      <c r="E279" s="4" t="inlineStr">
        <is>
          <t>10 Reward Points per ₹100 on eligible online/departmental-store spends and 20 per ₹100 on eligible Snapdeal spends.</t>
        </is>
      </c>
      <c r="F279" s="4" t="inlineStr">
        <is>
          <t>1 Reward Point = about ₹0.25.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5" t="inlineStr">
        <is>
          <t>https://www.bobcard.co.in/compare-cards</t>
        </is>
      </c>
      <c r="T279" s="2" t="inlineStr">
        <is>
          <t>Current official comparison catalogue accessed 2026-09-09</t>
        </is>
      </c>
      <c r="U279" s="5" t="inlineStr">
        <is>
          <t>https://www.bobcard.co.in/compare-cards</t>
        </is>
      </c>
      <c r="V279" s="2" t="inlineStr">
        <is>
          <t>Official issuer</t>
        </is>
      </c>
      <c r="W279" s="2" t="inlineStr">
        <is>
          <t>2026-09-09</t>
        </is>
      </c>
      <c r="X279" s="2" t="inlineStr">
        <is>
          <t>Second-pass reward/cashback research; populated only from located source material.</t>
        </is>
      </c>
    </row>
    <row r="280" ht="22" customHeight="1">
      <c r="A280" s="2" t="inlineStr">
        <is>
          <t>BOBCARD</t>
        </is>
      </c>
      <c r="B280" s="3" t="inlineStr">
        <is>
          <t>Selectable</t>
        </is>
      </c>
      <c r="C280" s="4" t="inlineStr">
        <is>
          <t>BOBCARD ETERNA Credit Card</t>
        </is>
      </c>
      <c r="D280" s="4" t="inlineStr">
        <is>
          <t>3 Reward Points per ₹100 on eligible spends.</t>
        </is>
      </c>
      <c r="E280" s="4" t="inlineStr">
        <is>
          <t>15 Reward Points per ₹100 on eligible dining, travel, international and online spends.</t>
        </is>
      </c>
      <c r="F280" s="4" t="inlineStr">
        <is>
          <t>1 Reward Point = about ₹0.25.</t>
        </is>
      </c>
      <c r="G280" s="4" t="inlineStr">
        <is>
          <t>Accelerated points capped under the current product terms (about 5,000 points/month).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5" t="inlineStr">
        <is>
          <t>https://www.bobcard.co.in/compare-cards</t>
        </is>
      </c>
      <c r="T280" s="2" t="inlineStr">
        <is>
          <t>Current official comparison catalogue accessed 2026-09-09</t>
        </is>
      </c>
      <c r="U280" s="5" t="inlineStr">
        <is>
          <t>https://www.bobcard.co.in/compare-cards</t>
        </is>
      </c>
      <c r="V280" s="2" t="inlineStr">
        <is>
          <t>Official issuer</t>
        </is>
      </c>
      <c r="W280" s="2" t="inlineStr">
        <is>
          <t>2026-09-09</t>
        </is>
      </c>
      <c r="X280" s="2" t="inlineStr">
        <is>
          <t>Second-pass reward/cashback research; populated only from located source material.</t>
        </is>
      </c>
    </row>
    <row r="281" ht="22" customHeight="1">
      <c r="A281" s="2" t="inlineStr">
        <is>
          <t>BOBCARD</t>
        </is>
      </c>
      <c r="B281" s="3" t="inlineStr">
        <is>
          <t>Selectable</t>
        </is>
      </c>
      <c r="C281" s="4" t="inlineStr">
        <is>
          <t>BOBCARD PREMIER Credit Card</t>
        </is>
      </c>
      <c r="D281" s="4" t="inlineStr">
        <is>
          <t>2 Reward Points per ₹100 on eligible spends.</t>
        </is>
      </c>
      <c r="E281" s="4" t="inlineStr">
        <is>
          <t>10 Reward Points per ₹100 on eligible travel, international and dining spends.</t>
        </is>
      </c>
      <c r="F281" s="4" t="inlineStr">
        <is>
          <t>1 Reward Point = about ₹0.25.</t>
        </is>
      </c>
      <c r="G281" s="4" t="inlineStr">
        <is>
          <t>Accelerated points capped under product terms (about 2,000 points/month).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5" t="inlineStr">
        <is>
          <t>https://www.bobcard.co.in/compare-cards</t>
        </is>
      </c>
      <c r="T281" s="2" t="inlineStr">
        <is>
          <t>Current official comparison catalogue accessed 2026-09-09</t>
        </is>
      </c>
      <c r="U281" s="5" t="inlineStr">
        <is>
          <t>https://www.bobcard.co.in/compare-cards</t>
        </is>
      </c>
      <c r="V281" s="2" t="inlineStr">
        <is>
          <t>Official issuer</t>
        </is>
      </c>
      <c r="W281" s="2" t="inlineStr">
        <is>
          <t>2026-09-09</t>
        </is>
      </c>
      <c r="X281" s="2" t="inlineStr">
        <is>
          <t>Second-pass reward/cashback research; populated only from located source material.</t>
        </is>
      </c>
    </row>
    <row r="282" ht="22" customHeight="1">
      <c r="A282" s="2" t="inlineStr">
        <is>
          <t>BOBCARD</t>
        </is>
      </c>
      <c r="B282" s="3" t="inlineStr">
        <is>
          <t>Selectable</t>
        </is>
      </c>
      <c r="C282" s="4" t="inlineStr">
        <is>
          <t>BOBCARD TIARA Credit Card</t>
        </is>
      </c>
      <c r="D282" s="4" t="inlineStr">
        <is>
          <t>3 Reward Points per ₹100 on eligible spends.</t>
        </is>
      </c>
      <c r="E282" s="4" t="inlineStr">
        <is>
          <t>15 Reward Points per ₹100 on eligible dining, travel and international spends.</t>
        </is>
      </c>
      <c r="F282" s="4" t="inlineStr">
        <is>
          <t>1 Reward Point = about ₹0.25.</t>
        </is>
      </c>
      <c r="G282" s="4" t="inlineStr">
        <is>
          <t>Accelerated points capped under product terms (about 5,000 points/month).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5" t="inlineStr">
        <is>
          <t>https://www.bobcard.co.in/compare-cards</t>
        </is>
      </c>
      <c r="T282" s="2" t="inlineStr">
        <is>
          <t>Current official comparison catalogue accessed 2026-09-09</t>
        </is>
      </c>
      <c r="U282" s="5" t="inlineStr">
        <is>
          <t>https://www.bobcard.co.in/compare-cards</t>
        </is>
      </c>
      <c r="V282" s="2" t="inlineStr">
        <is>
          <t>Official issuer</t>
        </is>
      </c>
      <c r="W282" s="2" t="inlineStr">
        <is>
          <t>2026-09-09</t>
        </is>
      </c>
      <c r="X282" s="2" t="inlineStr">
        <is>
          <t>Second-pass reward/cashback research; populated only from located source material.</t>
        </is>
      </c>
    </row>
    <row r="283" ht="22" customHeight="1">
      <c r="A283" s="2" t="inlineStr">
        <is>
          <t>BOBCARD</t>
        </is>
      </c>
      <c r="B283" s="3" t="inlineStr">
        <is>
          <t>Selectable</t>
        </is>
      </c>
      <c r="C283" s="4" t="inlineStr">
        <is>
          <t>BOBCARD EASY Credit Card</t>
        </is>
      </c>
      <c r="D283" s="4" t="inlineStr">
        <is>
          <t>1 Reward Point per ₹100 on eligible spends.</t>
        </is>
      </c>
      <c r="E283" s="4" t="inlineStr"/>
      <c r="F283" s="4" t="inlineStr">
        <is>
          <t>1 Reward Point = about ₹0.20.</t>
        </is>
      </c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5" t="inlineStr">
        <is>
          <t>https://www.bobcard.co.in/compare-cards</t>
        </is>
      </c>
      <c r="T283" s="2" t="inlineStr">
        <is>
          <t>Current official comparison catalogue accessed 2026-09-09</t>
        </is>
      </c>
      <c r="U283" s="5" t="inlineStr">
        <is>
          <t>https://www.bobcard.co.in/compare-cards</t>
        </is>
      </c>
      <c r="V283" s="2" t="inlineStr">
        <is>
          <t>Official issuer</t>
        </is>
      </c>
      <c r="W283" s="2" t="inlineStr">
        <is>
          <t>2026-09-09</t>
        </is>
      </c>
      <c r="X283" s="2" t="inlineStr">
        <is>
          <t>Second-pass reward/cashback research; populated only from located source material.</t>
        </is>
      </c>
    </row>
    <row r="284" ht="22" customHeight="1">
      <c r="A284" s="2" t="inlineStr">
        <is>
          <t>BOBCARD</t>
        </is>
      </c>
      <c r="B284" s="3" t="inlineStr">
        <is>
          <t>Selectable</t>
        </is>
      </c>
      <c r="C284" s="4" t="inlineStr">
        <is>
          <t>HPCL ENERGIE BOBCARD Credit Card</t>
        </is>
      </c>
      <c r="D284" s="4" t="inlineStr">
        <is>
          <t>2 Reward Points per ₹150 on eligible other spends.</t>
        </is>
      </c>
      <c r="E284" s="4" t="inlineStr">
        <is>
          <t>10 Reward Points per ₹150 on eligible utility/departmental-store spends and 24 Reward Points per ₹150 on eligible HPCL fuel/LPG/HP Pay spends.</t>
        </is>
      </c>
      <c r="F284" s="4" t="inlineStr">
        <is>
          <t>1 Reward Point = about ₹0.25.</t>
        </is>
      </c>
      <c r="G284" s="4" t="inlineStr">
        <is>
          <t>Accelerated categories subject to product monthly caps.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5" t="inlineStr">
        <is>
          <t>https://www.bobcard.co.in/compare-cards</t>
        </is>
      </c>
      <c r="T284" s="2" t="inlineStr">
        <is>
          <t>Current official comparison catalogue accessed 2026-09-09</t>
        </is>
      </c>
      <c r="U284" s="5" t="inlineStr">
        <is>
          <t>https://www.bobcard.co.in/compare-cards</t>
        </is>
      </c>
      <c r="V284" s="2" t="inlineStr">
        <is>
          <t>Official issuer</t>
        </is>
      </c>
      <c r="W284" s="2" t="inlineStr">
        <is>
          <t>2026-09-09</t>
        </is>
      </c>
      <c r="X284" s="2" t="inlineStr">
        <is>
          <t>Second-pass reward/cashback research; populated only from located source material.</t>
        </is>
      </c>
    </row>
    <row r="285" ht="22" customHeight="1">
      <c r="A285" s="2" t="inlineStr">
        <is>
          <t>BOBCARD</t>
        </is>
      </c>
      <c r="B285" s="3" t="inlineStr">
        <is>
          <t>Selectable</t>
        </is>
      </c>
      <c r="C285" s="4" t="inlineStr">
        <is>
          <t>IRCTC BOBCARD Credit Card</t>
        </is>
      </c>
      <c r="D285" s="4" t="inlineStr">
        <is>
          <t>2 Reward Points per ₹100 on eligible spends.</t>
        </is>
      </c>
      <c r="E285" s="4" t="inlineStr">
        <is>
          <t>4 Reward Points per ₹100 on eligible department-store spends and up to 40 Reward Points per ₹100 on eligible IRCTC train-ticket spends depending on the programme/travel-season conditions.</t>
        </is>
      </c>
      <c r="F285" s="4" t="inlineStr">
        <is>
          <t>1 Reward Point = about ₹0.25.</t>
        </is>
      </c>
      <c r="G285" s="4" t="inlineStr">
        <is>
          <t>Accelerated reward points capped at about 1,000 points per statement cycle under current product terms.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5" t="inlineStr">
        <is>
          <t>https://www.bobcard.co.in/compare-cards</t>
        </is>
      </c>
      <c r="T285" s="2" t="inlineStr">
        <is>
          <t>Current official comparison catalogue accessed 2026-09-09</t>
        </is>
      </c>
      <c r="U285" s="5" t="inlineStr">
        <is>
          <t>https://www.bobcard.co.in/credit-card-types/irctc-credit-card</t>
        </is>
      </c>
      <c r="V285" s="2" t="inlineStr">
        <is>
          <t>Official issuer</t>
        </is>
      </c>
      <c r="W285" s="2" t="inlineStr">
        <is>
          <t>2026-09-09</t>
        </is>
      </c>
      <c r="X285" s="2" t="inlineStr">
        <is>
          <t>Second-pass reward/cashback research; populated only from located source material.</t>
        </is>
      </c>
    </row>
    <row r="286" ht="22" customHeight="1">
      <c r="A286" s="2" t="inlineStr">
        <is>
          <t>BOBCARD</t>
        </is>
      </c>
      <c r="B286" s="3" t="inlineStr">
        <is>
          <t>Selectable</t>
        </is>
      </c>
      <c r="C286" s="4" t="inlineStr">
        <is>
          <t>BOBCARD PRIME Credit Card</t>
        </is>
      </c>
      <c r="D286" s="4" t="inlineStr">
        <is>
          <t>2 Reward Points per ₹100 on eligible spends.</t>
        </is>
      </c>
      <c r="E286" s="4" t="inlineStr"/>
      <c r="F286" s="4" t="inlineStr">
        <is>
          <t>1 Reward Point = about ₹0.20.</t>
        </is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5" t="inlineStr">
        <is>
          <t>https://www.bobcard.co.in/compare-cards</t>
        </is>
      </c>
      <c r="T286" s="2" t="inlineStr">
        <is>
          <t>Current official comparison catalogue accessed 2026-09-09</t>
        </is>
      </c>
      <c r="U286" s="5" t="inlineStr">
        <is>
          <t>https://www.bobcard.co.in/compare-cards</t>
        </is>
      </c>
      <c r="V286" s="2" t="inlineStr">
        <is>
          <t>Official issuer</t>
        </is>
      </c>
      <c r="W286" s="2" t="inlineStr">
        <is>
          <t>2026-09-09</t>
        </is>
      </c>
      <c r="X286" s="2" t="inlineStr">
        <is>
          <t>Second-pass reward/cashback research; populated only from located source material.</t>
        </is>
      </c>
    </row>
    <row r="287" ht="22" customHeight="1">
      <c r="A287" s="2" t="inlineStr">
        <is>
          <t>BOBCARD</t>
        </is>
      </c>
      <c r="B287" s="3" t="inlineStr">
        <is>
          <t>Selectable</t>
        </is>
      </c>
      <c r="C287" s="4" t="inlineStr">
        <is>
          <t>BOBCARD PM SVANidhi Credit Card</t>
        </is>
      </c>
      <c r="D287" s="4" t="inlineStr">
        <is>
          <t>1 Reward Point per ₹100 on eligible spends.</t>
        </is>
      </c>
      <c r="E287" s="4" t="inlineStr"/>
      <c r="F287" s="4" t="inlineStr">
        <is>
          <t>1 Reward Point = about ₹0.20.</t>
        </is>
      </c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5" t="inlineStr">
        <is>
          <t>https://www.bobcard.co.in/compare-cards</t>
        </is>
      </c>
      <c r="T287" s="2" t="inlineStr">
        <is>
          <t>Current official comparison catalogue accessed 2026-09-09</t>
        </is>
      </c>
      <c r="U287" s="5" t="inlineStr">
        <is>
          <t>https://www.bobcard.co.in/credit-card-types/pm-svanidhi</t>
        </is>
      </c>
      <c r="V287" s="2" t="inlineStr">
        <is>
          <t>Official issuer</t>
        </is>
      </c>
      <c r="W287" s="2" t="inlineStr">
        <is>
          <t>2026-09-09</t>
        </is>
      </c>
      <c r="X287" s="2" t="inlineStr">
        <is>
          <t>Second-pass reward/cashback research; populated only from located source material.</t>
        </is>
      </c>
    </row>
    <row r="288" ht="34" customHeight="1">
      <c r="A288" s="2" t="inlineStr">
        <is>
          <t>Federal Bank</t>
        </is>
      </c>
      <c r="B288" s="3" t="inlineStr">
        <is>
          <t>Selectable</t>
        </is>
      </c>
      <c r="C288" s="4" t="inlineStr">
        <is>
          <t>Federal Bank Visa Celesta Credit Card</t>
        </is>
      </c>
      <c r="D288" s="4" t="inlineStr">
        <is>
          <t>3-2-1 reward structure under current Federal Bank programme; category mapping on product page.</t>
        </is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>
        <is>
          <t>Nil</t>
        </is>
      </c>
      <c r="L288" s="4" t="inlineStr">
        <is>
          <t>Nil</t>
        </is>
      </c>
      <c r="M288" s="4" t="inlineStr"/>
      <c r="N288" s="4" t="inlineStr">
        <is>
          <t>2%</t>
        </is>
      </c>
      <c r="O288" s="4" t="inlineStr">
        <is>
          <t>Complimentary airport-lounge access under current programme.</t>
        </is>
      </c>
      <c r="P288" s="4" t="inlineStr"/>
      <c r="Q288" s="4" t="inlineStr">
        <is>
          <t>1% fuel surcharge waiver subject to Federal Bank card terms.</t>
        </is>
      </c>
      <c r="R288" s="4" t="inlineStr"/>
      <c r="S288" s="5" t="inlineStr">
        <is>
          <t>https://www.federalbank.co.in/en/credit-cards
https://www.federalbank.co.in/-/credit-cards-general-terms-and-conditions-1</t>
        </is>
      </c>
      <c r="T288" s="2" t="inlineStr">
        <is>
          <t>Current official catalogue/KFS accessed 2026-09-09</t>
        </is>
      </c>
    </row>
    <row r="289" ht="34" customHeight="1">
      <c r="A289" s="2" t="inlineStr">
        <is>
          <t>Federal Bank</t>
        </is>
      </c>
      <c r="B289" s="3" t="inlineStr">
        <is>
          <t>Selectable</t>
        </is>
      </c>
      <c r="C289" s="4" t="inlineStr">
        <is>
          <t>Federal Bank Visa Imperio Credit Card</t>
        </is>
      </c>
      <c r="D289" s="4" t="inlineStr">
        <is>
          <t>3-2-1 reward structure under current Federal Bank programme; category mapping on product page.</t>
        </is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>
        <is>
          <t>Nil</t>
        </is>
      </c>
      <c r="L289" s="4" t="inlineStr">
        <is>
          <t>Nil</t>
        </is>
      </c>
      <c r="M289" s="4" t="inlineStr"/>
      <c r="N289" s="4" t="inlineStr">
        <is>
          <t>3.5%</t>
        </is>
      </c>
      <c r="O289" s="4" t="inlineStr">
        <is>
          <t>Complimentary airport-lounge access under current programme.</t>
        </is>
      </c>
      <c r="P289" s="4" t="inlineStr"/>
      <c r="Q289" s="4" t="inlineStr">
        <is>
          <t>1% fuel surcharge waiver subject to Federal Bank card terms.</t>
        </is>
      </c>
      <c r="R289" s="4" t="inlineStr"/>
      <c r="S289" s="5" t="inlineStr">
        <is>
          <t>https://www.federalbank.co.in/en/credit-cards
https://www.federalbank.co.in/-/credit-cards-general-terms-and-conditions-1</t>
        </is>
      </c>
      <c r="T289" s="2" t="inlineStr">
        <is>
          <t>Current official catalogue/KFS accessed 2026-09-09</t>
        </is>
      </c>
    </row>
    <row r="290" ht="34" customHeight="1">
      <c r="A290" s="2" t="inlineStr">
        <is>
          <t>Federal Bank</t>
        </is>
      </c>
      <c r="B290" s="3" t="inlineStr">
        <is>
          <t>Selectable</t>
        </is>
      </c>
      <c r="C290" s="4" t="inlineStr">
        <is>
          <t>Federal Bank Visa Signet Credit Card</t>
        </is>
      </c>
      <c r="D290" s="4" t="inlineStr">
        <is>
          <t>3-2-1 reward structure under current Federal Bank programme; category mapping on product page.</t>
        </is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>
        <is>
          <t>Nil</t>
        </is>
      </c>
      <c r="L290" s="4" t="inlineStr">
        <is>
          <t>Nil</t>
        </is>
      </c>
      <c r="M290" s="4" t="inlineStr"/>
      <c r="N290" s="4" t="inlineStr">
        <is>
          <t>3.5%</t>
        </is>
      </c>
      <c r="O290" s="4" t="inlineStr">
        <is>
          <t>Complimentary airport-lounge access under current programme.</t>
        </is>
      </c>
      <c r="P290" s="4" t="inlineStr"/>
      <c r="Q290" s="4" t="inlineStr">
        <is>
          <t>1% fuel surcharge waiver subject to Federal Bank card terms.</t>
        </is>
      </c>
      <c r="R290" s="4" t="inlineStr"/>
      <c r="S290" s="5" t="inlineStr">
        <is>
          <t>https://www.federalbank.co.in/en/credit-cards
https://www.federalbank.co.in/-/credit-cards-general-terms-and-conditions-1</t>
        </is>
      </c>
      <c r="T290" s="2" t="inlineStr">
        <is>
          <t>Current official catalogue/KFS accessed 2026-09-09</t>
        </is>
      </c>
    </row>
    <row r="291" ht="34" customHeight="1">
      <c r="A291" s="2" t="inlineStr">
        <is>
          <t>Federal Bank</t>
        </is>
      </c>
      <c r="B291" s="3" t="inlineStr">
        <is>
          <t>Selectable</t>
        </is>
      </c>
      <c r="C291" s="4" t="inlineStr">
        <is>
          <t>Federal Bank Mastercard Celesta Credit Card</t>
        </is>
      </c>
      <c r="D291" s="4" t="inlineStr">
        <is>
          <t>3-2-1 reward structure under current Federal Bank programme; category mapping on product page.</t>
        </is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>
        <is>
          <t>Nil</t>
        </is>
      </c>
      <c r="L291" s="4" t="inlineStr">
        <is>
          <t>Nil</t>
        </is>
      </c>
      <c r="M291" s="4" t="inlineStr"/>
      <c r="N291" s="4" t="inlineStr">
        <is>
          <t>2%</t>
        </is>
      </c>
      <c r="O291" s="4" t="inlineStr">
        <is>
          <t>Complimentary airport-lounge access under current programme.</t>
        </is>
      </c>
      <c r="P291" s="4" t="inlineStr"/>
      <c r="Q291" s="4" t="inlineStr">
        <is>
          <t>1% fuel surcharge waiver subject to Federal Bank card terms.</t>
        </is>
      </c>
      <c r="R291" s="4" t="inlineStr"/>
      <c r="S291" s="5" t="inlineStr">
        <is>
          <t>https://www.federalbank.co.in/en/credit-cards
https://www.federalbank.co.in/-/credit-cards-general-terms-and-conditions-1</t>
        </is>
      </c>
      <c r="T291" s="2" t="inlineStr">
        <is>
          <t>Current official catalogue/KFS accessed 2026-09-09</t>
        </is>
      </c>
    </row>
    <row r="292" ht="34" customHeight="1">
      <c r="A292" s="2" t="inlineStr">
        <is>
          <t>Federal Bank</t>
        </is>
      </c>
      <c r="B292" s="3" t="inlineStr">
        <is>
          <t>Selectable</t>
        </is>
      </c>
      <c r="C292" s="4" t="inlineStr">
        <is>
          <t>Federal Bank Mastercard Imperio Credit Card</t>
        </is>
      </c>
      <c r="D292" s="4" t="inlineStr">
        <is>
          <t>3-2-1 reward structure under current Federal Bank programme; category mapping on product page.</t>
        </is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>
        <is>
          <t>Nil</t>
        </is>
      </c>
      <c r="L292" s="4" t="inlineStr">
        <is>
          <t>Nil</t>
        </is>
      </c>
      <c r="M292" s="4" t="inlineStr"/>
      <c r="N292" s="4" t="inlineStr">
        <is>
          <t>3.5%</t>
        </is>
      </c>
      <c r="O292" s="4" t="inlineStr">
        <is>
          <t>Complimentary airport-lounge access under current programme.</t>
        </is>
      </c>
      <c r="P292" s="4" t="inlineStr"/>
      <c r="Q292" s="4" t="inlineStr">
        <is>
          <t>1% fuel surcharge waiver subject to Federal Bank card terms.</t>
        </is>
      </c>
      <c r="R292" s="4" t="inlineStr"/>
      <c r="S292" s="5" t="inlineStr">
        <is>
          <t>https://www.federalbank.co.in/en/credit-cards
https://www.federalbank.co.in/-/credit-cards-general-terms-and-conditions-1</t>
        </is>
      </c>
      <c r="T292" s="2" t="inlineStr">
        <is>
          <t>Current official catalogue/KFS accessed 2026-09-09</t>
        </is>
      </c>
    </row>
    <row r="293" ht="34" customHeight="1">
      <c r="A293" s="2" t="inlineStr">
        <is>
          <t>Federal Bank</t>
        </is>
      </c>
      <c r="B293" s="3" t="inlineStr">
        <is>
          <t>Selectable</t>
        </is>
      </c>
      <c r="C293" s="4" t="inlineStr">
        <is>
          <t>Federal Bank Mastercard Signet Credit Card</t>
        </is>
      </c>
      <c r="D293" s="4" t="inlineStr">
        <is>
          <t>3-2-1 reward structure under current Federal Bank programme; category mapping on product page.</t>
        </is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>
        <is>
          <t>Nil</t>
        </is>
      </c>
      <c r="L293" s="4" t="inlineStr">
        <is>
          <t>Nil</t>
        </is>
      </c>
      <c r="M293" s="4" t="inlineStr"/>
      <c r="N293" s="4" t="inlineStr">
        <is>
          <t>3.5%</t>
        </is>
      </c>
      <c r="O293" s="4" t="inlineStr">
        <is>
          <t>Complimentary airport-lounge access under current programme.</t>
        </is>
      </c>
      <c r="P293" s="4" t="inlineStr"/>
      <c r="Q293" s="4" t="inlineStr">
        <is>
          <t>1% fuel surcharge waiver subject to Federal Bank card terms.</t>
        </is>
      </c>
      <c r="R293" s="4" t="inlineStr"/>
      <c r="S293" s="5" t="inlineStr">
        <is>
          <t>https://www.federalbank.co.in/en/credit-cards
https://www.federalbank.co.in/-/credit-cards-general-terms-and-conditions-1</t>
        </is>
      </c>
      <c r="T293" s="2" t="inlineStr">
        <is>
          <t>Current official catalogue/KFS accessed 2026-09-09</t>
        </is>
      </c>
    </row>
    <row r="294" ht="34" customHeight="1">
      <c r="A294" s="2" t="inlineStr">
        <is>
          <t>Federal Bank</t>
        </is>
      </c>
      <c r="B294" s="3" t="inlineStr">
        <is>
          <t>Selectable</t>
        </is>
      </c>
      <c r="C294" s="4" t="inlineStr">
        <is>
          <t>Federal Bank RuPay Signet Credit Card</t>
        </is>
      </c>
      <c r="D294" s="4" t="inlineStr">
        <is>
          <t>1X reward on other eligible spends under current 3-2-1 structure.</t>
        </is>
      </c>
      <c r="E294" s="4" t="inlineStr">
        <is>
          <t>3X on eligible electronics/apparel; 2X on eligible entertainment under current programme.</t>
        </is>
      </c>
      <c r="F294" s="4" t="inlineStr"/>
      <c r="G294" s="4" t="inlineStr"/>
      <c r="H294" s="4" t="inlineStr"/>
      <c r="I294" s="4" t="inlineStr"/>
      <c r="J294" s="4" t="inlineStr"/>
      <c r="K294" s="4" t="inlineStr">
        <is>
          <t>Nil</t>
        </is>
      </c>
      <c r="L294" s="4" t="inlineStr">
        <is>
          <t>Nil</t>
        </is>
      </c>
      <c r="M294" s="4" t="inlineStr"/>
      <c r="N294" s="4" t="inlineStr">
        <is>
          <t>3.5%</t>
        </is>
      </c>
      <c r="O294" s="4" t="inlineStr">
        <is>
          <t>1 domestic lounge visit in the following quarter after ₹20,000 eligible quarterly spend, subject to programme terms.</t>
        </is>
      </c>
      <c r="P294" s="4" t="inlineStr">
        <is>
          <t>Swiggy voucher on ₹20,000 eligible quarterly spend under current programme.</t>
        </is>
      </c>
      <c r="Q294" s="4" t="inlineStr"/>
      <c r="R294" s="4" t="inlineStr">
        <is>
          <t>Welcome Amazon Pay e-voucher ₹200 after ₹3,000 eligible spend within 30 days; BOGO INOX benefit once/quarter under current terms.</t>
        </is>
      </c>
      <c r="S294" s="5" t="inlineStr">
        <is>
          <t>https://www.federalbank.co.in/en/credit-cards
https://www.federalbank.co.in/-/credit-cards-general-terms-and-conditions-1</t>
        </is>
      </c>
      <c r="T294" s="2" t="inlineStr">
        <is>
          <t>Current official product/KFS accessed 2026-09-09</t>
        </is>
      </c>
    </row>
    <row r="295" ht="46" customHeight="1">
      <c r="A295" s="2" t="inlineStr">
        <is>
          <t>Federal Bank</t>
        </is>
      </c>
      <c r="B295" s="3" t="inlineStr">
        <is>
          <t>Selectable</t>
        </is>
      </c>
      <c r="C295" s="4" t="inlineStr">
        <is>
          <t>Federal Bank RuPay Wave Credit Card</t>
        </is>
      </c>
      <c r="D295" s="4" t="inlineStr"/>
      <c r="E295" s="4" t="inlineStr">
        <is>
          <t>Published launch/current programme includes 10% cashback on first five eligible UPI transactions.</t>
        </is>
      </c>
      <c r="F295" s="4" t="inlineStr"/>
      <c r="G295" s="4" t="inlineStr"/>
      <c r="H295" s="4" t="inlineStr"/>
      <c r="I295" s="4" t="inlineStr"/>
      <c r="J295" s="4" t="inlineStr"/>
      <c r="K295" s="4" t="inlineStr">
        <is>
          <t>Nil for virtual card; physical-card issuance fee ₹199 + GST under current KFS.</t>
        </is>
      </c>
      <c r="L295" s="4" t="inlineStr">
        <is>
          <t>₹199 + GST under current KFS (issuer also notes no joining/membership fee for customers onboarded from 2023-04-03; current issuance terms should be checked).</t>
        </is>
      </c>
      <c r="M295" s="4" t="inlineStr"/>
      <c r="N295" s="4" t="inlineStr">
        <is>
          <t>3.5%</t>
        </is>
      </c>
      <c r="O295" s="4" t="inlineStr"/>
      <c r="P295" s="4" t="inlineStr">
        <is>
          <t>1,000 bonus RP at ₹50,000 eligible quarterly spend under current programme.</t>
        </is>
      </c>
      <c r="Q295" s="4" t="inlineStr"/>
      <c r="R295" s="4" t="inlineStr"/>
      <c r="S295" s="5" t="inlineStr">
        <is>
          <t>https://www.federalbank.co.in/en/credit-cards
https://www.federalbank.co.in/-/credit-cards-general-terms-and-conditions-1</t>
        </is>
      </c>
      <c r="T295" s="2" t="inlineStr">
        <is>
          <t>Current official product/KFS accessed 2026-09-09</t>
        </is>
      </c>
    </row>
    <row r="296" ht="46" customHeight="1">
      <c r="A296" s="2" t="inlineStr">
        <is>
          <t>Federal Bank</t>
        </is>
      </c>
      <c r="B296" s="3" t="inlineStr">
        <is>
          <t>Selectable</t>
        </is>
      </c>
      <c r="C296" s="4" t="inlineStr">
        <is>
          <t>Scapia Federal Bank Credit Card</t>
        </is>
      </c>
      <c r="D296" s="4" t="inlineStr">
        <is>
          <t>Visa proposition: 10% Scapia Coins on eligible purchases of at least ₹20 (equivalent to 10 coins per ₹100); RuPay proposition: 5% Scapia Coins on eligible spends above the specified threshold.</t>
        </is>
      </c>
      <c r="E296" s="4" t="inlineStr">
        <is>
          <t>20% Scapia Coins on eligible travel purchases through the Scapia app.</t>
        </is>
      </c>
      <c r="F296" s="4" t="inlineStr">
        <is>
          <t>5 Scapia Coins = ₹1; this is approximately 2% value on eligible Visa base spend, 1% on the cited RuPay base structure and 4% on eligible Scapia travel spend.</t>
        </is>
      </c>
      <c r="G296" s="4" t="inlineStr"/>
      <c r="H296" s="4" t="inlineStr">
        <is>
          <t>Visa eligible purchase minimum about ₹20; RuPay base earn applies above the product-specific threshold (₹500 in cited agreement).</t>
        </is>
      </c>
      <c r="I296" s="4" t="inlineStr"/>
      <c r="J296" s="4" t="inlineStr"/>
      <c r="K296" s="4" t="inlineStr">
        <is>
          <t>Nil</t>
        </is>
      </c>
      <c r="L296" s="4" t="inlineStr">
        <is>
          <t>Nil</t>
        </is>
      </c>
      <c r="M296" s="4" t="inlineStr"/>
      <c r="N296" s="4" t="inlineStr"/>
      <c r="O296" s="4" t="inlineStr"/>
      <c r="P296" s="4" t="inlineStr"/>
      <c r="Q296" s="4" t="inlineStr"/>
      <c r="R296" s="4" t="inlineStr"/>
      <c r="S296" s="5" t="inlineStr">
        <is>
          <t>https://www.federalbank.co.in/en/credit-cards
https://www.federalbank.co.in/documents/10180/4298617/Key%2BFact%2BStatement.pdf/b0e3cdc4-5e81-ad17-ccc2-f9f01e72e82b?t=1656400642134</t>
        </is>
      </c>
      <c r="T296" s="2" t="inlineStr">
        <is>
          <t>Official Scapia/Federal MITC and catalogue accessed 2026-09-09</t>
        </is>
      </c>
      <c r="U296" s="5" t="inlineStr">
        <is>
          <t>https://www.federal.bank.in/documents/d/guest/cardholder_agreement-v11-30_04_26</t>
        </is>
      </c>
      <c r="V296" s="2" t="inlineStr">
        <is>
          <t>Official issuer / co-brand</t>
        </is>
      </c>
      <c r="W296" s="2" t="inlineStr">
        <is>
          <t>2026-09-09</t>
        </is>
      </c>
      <c r="X296" s="2" t="inlineStr">
        <is>
          <t>Second-pass reward/cashback research; populated only from located source material.</t>
        </is>
      </c>
    </row>
  </sheetData>
  <autoFilter ref="A1:X296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LedgerKit Credit Card Catalogue Research</t>
        </is>
      </c>
    </row>
    <row r="3">
      <c r="A3" s="8" t="inlineStr">
        <is>
          <t>Scope</t>
        </is>
      </c>
    </row>
    <row r="4" ht="30" customHeight="1">
      <c r="A4" t="inlineStr">
        <is>
          <t>295 cards across 16 issuers: 249 selectable and 46 discontinued. All rows from the supplied catalogue are retained.</t>
        </is>
      </c>
    </row>
    <row r="5" ht="30" customHeight="1"/>
    <row r="6" ht="30" customHeight="1">
      <c r="A6" s="8" t="inlineStr">
        <is>
          <t>Methodology</t>
        </is>
      </c>
    </row>
    <row r="7" ht="30" customHeight="1">
      <c r="A7" s="9" t="inlineStr">
        <is>
          <t>• Primary-source first: issuer product pages, current MITC/KFS/schedules, and official cardmember agreements were prioritized.</t>
        </is>
      </c>
    </row>
    <row r="8" ht="30" customHeight="1">
      <c r="A8" s="9" t="inlineStr">
        <is>
          <t>• Blank cells are intentional. They mean a sufficiently clear official value was not located in the research pass; blanks should not be interpreted as zero, no benefit, or no exclusion.</t>
        </is>
      </c>
    </row>
    <row r="9" ht="30" customHeight="1">
      <c r="A9" s="9" t="inlineStr">
        <is>
          <t>• For discontinued cards, legacy facts are populated only when official legacy/current-servicing material was found. Historical cards are retained even when their old product page is no longer public.</t>
        </is>
      </c>
    </row>
    <row r="10" ht="30" customHeight="1">
      <c r="A10" s="9" t="inlineStr">
        <is>
          <t>• Issuer-wide rules are used only where the issuer document explicitly applies them to the card/variant. Co-brand-specific rules are not inferred from generic issuer rules.</t>
        </is>
      </c>
    </row>
    <row r="11" ht="30" customHeight="1">
      <c r="A11" s="9" t="inlineStr">
        <is>
          <t>• Effective date records a document date when explicit; otherwise it records the official page access date (9 September 2026).</t>
        </is>
      </c>
    </row>
    <row r="12" ht="30" customHeight="1">
      <c r="A12" s="9" t="inlineStr">
        <is>
          <t>• Fees shown generally exclude GST unless the text explicitly says otherwise. Benefit availability can depend on network variant, spend qualification, account relationship, and issuer changes.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Catalogue Integrity &amp; Coverage</t>
        </is>
      </c>
    </row>
    <row r="3">
      <c r="A3" s="10" t="inlineStr">
        <is>
          <t>Metric</t>
        </is>
      </c>
      <c r="B3" s="10" t="inlineStr">
        <is>
          <t>Value</t>
        </is>
      </c>
    </row>
    <row r="4">
      <c r="A4" t="inlineStr">
        <is>
          <t>Total cards</t>
        </is>
      </c>
      <c r="B4">
        <f>COUNTA(Catalogue!C2:C296)</f>
        <v/>
      </c>
    </row>
    <row r="5">
      <c r="A5" t="inlineStr">
        <is>
          <t>Selectable</t>
        </is>
      </c>
      <c r="B5">
        <f>COUNTIF(Catalogue!B2:B296,"Selectable")</f>
        <v/>
      </c>
    </row>
    <row r="6">
      <c r="A6" t="inlineStr">
        <is>
          <t>Discontinued</t>
        </is>
      </c>
      <c r="B6">
        <f>COUNTIF(Catalogue!B2:B296,"Discontinued")</f>
        <v/>
      </c>
    </row>
    <row r="7">
      <c r="A7" t="inlineStr">
        <is>
          <t>Issuers</t>
        </is>
      </c>
      <c r="B7">
        <f>COUNTA(A11:A26)</f>
        <v/>
      </c>
    </row>
    <row r="10">
      <c r="A10" s="10" t="inlineStr">
        <is>
          <t>Issuer</t>
        </is>
      </c>
      <c r="B10" s="10" t="inlineStr">
        <is>
          <t>Total</t>
        </is>
      </c>
      <c r="C10" s="10" t="inlineStr">
        <is>
          <t>Selectable</t>
        </is>
      </c>
      <c r="D10" s="10" t="inlineStr">
        <is>
          <t>Discontinued</t>
        </is>
      </c>
    </row>
    <row r="11">
      <c r="A11" t="inlineStr">
        <is>
          <t>HDFC Bank</t>
        </is>
      </c>
      <c r="B11">
        <f>COUNTIF(Catalogue!$A$2:$A$296,A11)</f>
        <v/>
      </c>
      <c r="C11">
        <f>COUNTIFS(Catalogue!$A$2:$A$296,A11,Catalogue!$B$2:$B$296,"Selectable")</f>
        <v/>
      </c>
      <c r="D11">
        <f>COUNTIFS(Catalogue!$A$2:$A$296,A11,Catalogue!$B$2:$B$296,"Discontinued")</f>
        <v/>
      </c>
    </row>
    <row r="12">
      <c r="A12" t="inlineStr">
        <is>
          <t>ICICI Bank</t>
        </is>
      </c>
      <c r="B12">
        <f>COUNTIF(Catalogue!$A$2:$A$296,A12)</f>
        <v/>
      </c>
      <c r="C12">
        <f>COUNTIFS(Catalogue!$A$2:$A$296,A12,Catalogue!$B$2:$B$296,"Selectable")</f>
        <v/>
      </c>
      <c r="D12">
        <f>COUNTIFS(Catalogue!$A$2:$A$296,A12,Catalogue!$B$2:$B$296,"Discontinued")</f>
        <v/>
      </c>
    </row>
    <row r="13">
      <c r="A13" t="inlineStr">
        <is>
          <t>Axis Bank</t>
        </is>
      </c>
      <c r="B13">
        <f>COUNTIF(Catalogue!$A$2:$A$296,A13)</f>
        <v/>
      </c>
      <c r="C13">
        <f>COUNTIFS(Catalogue!$A$2:$A$296,A13,Catalogue!$B$2:$B$296,"Selectable")</f>
        <v/>
      </c>
      <c r="D13">
        <f>COUNTIFS(Catalogue!$A$2:$A$296,A13,Catalogue!$B$2:$B$296,"Discontinued")</f>
        <v/>
      </c>
    </row>
    <row r="14">
      <c r="A14" t="inlineStr">
        <is>
          <t>SBI Card</t>
        </is>
      </c>
      <c r="B14">
        <f>COUNTIF(Catalogue!$A$2:$A$296,A14)</f>
        <v/>
      </c>
      <c r="C14">
        <f>COUNTIFS(Catalogue!$A$2:$A$296,A14,Catalogue!$B$2:$B$296,"Selectable")</f>
        <v/>
      </c>
      <c r="D14">
        <f>COUNTIFS(Catalogue!$A$2:$A$296,A14,Catalogue!$B$2:$B$296,"Discontinued")</f>
        <v/>
      </c>
    </row>
    <row r="15">
      <c r="A15" t="inlineStr">
        <is>
          <t>Kotak Mahindra Bank</t>
        </is>
      </c>
      <c r="B15">
        <f>COUNTIF(Catalogue!$A$2:$A$296,A15)</f>
        <v/>
      </c>
      <c r="C15">
        <f>COUNTIFS(Catalogue!$A$2:$A$296,A15,Catalogue!$B$2:$B$296,"Selectable")</f>
        <v/>
      </c>
      <c r="D15">
        <f>COUNTIFS(Catalogue!$A$2:$A$296,A15,Catalogue!$B$2:$B$296,"Discontinued")</f>
        <v/>
      </c>
    </row>
    <row r="16">
      <c r="A16" t="inlineStr">
        <is>
          <t>IDFC FIRST Bank</t>
        </is>
      </c>
      <c r="B16">
        <f>COUNTIF(Catalogue!$A$2:$A$296,A16)</f>
        <v/>
      </c>
      <c r="C16">
        <f>COUNTIFS(Catalogue!$A$2:$A$296,A16,Catalogue!$B$2:$B$296,"Selectable")</f>
        <v/>
      </c>
      <c r="D16">
        <f>COUNTIFS(Catalogue!$A$2:$A$296,A16,Catalogue!$B$2:$B$296,"Discontinued")</f>
        <v/>
      </c>
    </row>
    <row r="17">
      <c r="A17" t="inlineStr">
        <is>
          <t>IndusInd Bank</t>
        </is>
      </c>
      <c r="B17">
        <f>COUNTIF(Catalogue!$A$2:$A$296,A17)</f>
        <v/>
      </c>
      <c r="C17">
        <f>COUNTIFS(Catalogue!$A$2:$A$296,A17,Catalogue!$B$2:$B$296,"Selectable")</f>
        <v/>
      </c>
      <c r="D17">
        <f>COUNTIFS(Catalogue!$A$2:$A$296,A17,Catalogue!$B$2:$B$296,"Discontinued")</f>
        <v/>
      </c>
    </row>
    <row r="18">
      <c r="A18" t="inlineStr">
        <is>
          <t>AU Small Finance Bank</t>
        </is>
      </c>
      <c r="B18">
        <f>COUNTIF(Catalogue!$A$2:$A$296,A18)</f>
        <v/>
      </c>
      <c r="C18">
        <f>COUNTIFS(Catalogue!$A$2:$A$296,A18,Catalogue!$B$2:$B$296,"Selectable")</f>
        <v/>
      </c>
      <c r="D18">
        <f>COUNTIFS(Catalogue!$A$2:$A$296,A18,Catalogue!$B$2:$B$296,"Discontinued")</f>
        <v/>
      </c>
    </row>
    <row r="19">
      <c r="A19" t="inlineStr">
        <is>
          <t>YES BANK</t>
        </is>
      </c>
      <c r="B19">
        <f>COUNTIF(Catalogue!$A$2:$A$296,A19)</f>
        <v/>
      </c>
      <c r="C19">
        <f>COUNTIFS(Catalogue!$A$2:$A$296,A19,Catalogue!$B$2:$B$296,"Selectable")</f>
        <v/>
      </c>
      <c r="D19">
        <f>COUNTIFS(Catalogue!$A$2:$A$296,A19,Catalogue!$B$2:$B$296,"Discontinued")</f>
        <v/>
      </c>
    </row>
    <row r="20">
      <c r="A20" t="inlineStr">
        <is>
          <t>RBL Bank</t>
        </is>
      </c>
      <c r="B20">
        <f>COUNTIF(Catalogue!$A$2:$A$296,A20)</f>
        <v/>
      </c>
      <c r="C20">
        <f>COUNTIFS(Catalogue!$A$2:$A$296,A20,Catalogue!$B$2:$B$296,"Selectable")</f>
        <v/>
      </c>
      <c r="D20">
        <f>COUNTIFS(Catalogue!$A$2:$A$296,A20,Catalogue!$B$2:$B$296,"Discontinued")</f>
        <v/>
      </c>
    </row>
    <row r="21">
      <c r="A21" t="inlineStr">
        <is>
          <t>American Express India</t>
        </is>
      </c>
      <c r="B21">
        <f>COUNTIF(Catalogue!$A$2:$A$296,A21)</f>
        <v/>
      </c>
      <c r="C21">
        <f>COUNTIFS(Catalogue!$A$2:$A$296,A21,Catalogue!$B$2:$B$296,"Selectable")</f>
        <v/>
      </c>
      <c r="D21">
        <f>COUNTIFS(Catalogue!$A$2:$A$296,A21,Catalogue!$B$2:$B$296,"Discontinued")</f>
        <v/>
      </c>
    </row>
    <row r="22">
      <c r="A22" t="inlineStr">
        <is>
          <t>HSBC India</t>
        </is>
      </c>
      <c r="B22">
        <f>COUNTIF(Catalogue!$A$2:$A$296,A22)</f>
        <v/>
      </c>
      <c r="C22">
        <f>COUNTIFS(Catalogue!$A$2:$A$296,A22,Catalogue!$B$2:$B$296,"Selectable")</f>
        <v/>
      </c>
      <c r="D22">
        <f>COUNTIFS(Catalogue!$A$2:$A$296,A22,Catalogue!$B$2:$B$296,"Discontinued")</f>
        <v/>
      </c>
    </row>
    <row r="23">
      <c r="A23" t="inlineStr">
        <is>
          <t>Standard Chartered India</t>
        </is>
      </c>
      <c r="B23">
        <f>COUNTIF(Catalogue!$A$2:$A$296,A23)</f>
        <v/>
      </c>
      <c r="C23">
        <f>COUNTIFS(Catalogue!$A$2:$A$296,A23,Catalogue!$B$2:$B$296,"Selectable")</f>
        <v/>
      </c>
      <c r="D23">
        <f>COUNTIFS(Catalogue!$A$2:$A$296,A23,Catalogue!$B$2:$B$296,"Discontinued")</f>
        <v/>
      </c>
    </row>
    <row r="24">
      <c r="A24" t="inlineStr">
        <is>
          <t>slice Small Finance Bank</t>
        </is>
      </c>
      <c r="B24">
        <f>COUNTIF(Catalogue!$A$2:$A$296,A24)</f>
        <v/>
      </c>
      <c r="C24">
        <f>COUNTIFS(Catalogue!$A$2:$A$296,A24,Catalogue!$B$2:$B$296,"Selectable")</f>
        <v/>
      </c>
      <c r="D24">
        <f>COUNTIFS(Catalogue!$A$2:$A$296,A24,Catalogue!$B$2:$B$296,"Discontinued")</f>
        <v/>
      </c>
    </row>
    <row r="25">
      <c r="A25" t="inlineStr">
        <is>
          <t>BOBCARD</t>
        </is>
      </c>
      <c r="B25">
        <f>COUNTIF(Catalogue!$A$2:$A$296,A25)</f>
        <v/>
      </c>
      <c r="C25">
        <f>COUNTIFS(Catalogue!$A$2:$A$296,A25,Catalogue!$B$2:$B$296,"Selectable")</f>
        <v/>
      </c>
      <c r="D25">
        <f>COUNTIFS(Catalogue!$A$2:$A$296,A25,Catalogue!$B$2:$B$296,"Discontinued")</f>
        <v/>
      </c>
    </row>
    <row r="26">
      <c r="A26" t="inlineStr">
        <is>
          <t>Federal Bank</t>
        </is>
      </c>
      <c r="B26">
        <f>COUNTIF(Catalogue!$A$2:$A$296,A26)</f>
        <v/>
      </c>
      <c r="C26">
        <f>COUNTIFS(Catalogue!$A$2:$A$296,A26,Catalogue!$B$2:$B$296,"Selectable")</f>
        <v/>
      </c>
      <c r="D26">
        <f>COUNTIFS(Catalogue!$A$2:$A$296,A26,Catalogue!$B$2:$B$296,"Discontinued")</f>
        <v/>
      </c>
    </row>
    <row r="29">
      <c r="A29" s="10" t="inlineStr">
        <is>
          <t>Requested field</t>
        </is>
      </c>
      <c r="B29" s="10" t="inlineStr">
        <is>
          <t>Nonblank rows</t>
        </is>
      </c>
      <c r="C29" s="10" t="inlineStr">
        <is>
          <t>Coverage %</t>
        </is>
      </c>
      <c r="D29" s="10" t="n"/>
    </row>
    <row r="30">
      <c r="A30" t="inlineStr">
        <is>
          <t>Base reward</t>
        </is>
      </c>
      <c r="B30">
        <f>COUNTA(Catalogue!D2:D296)</f>
        <v/>
      </c>
      <c r="C30" s="11">
        <f>B30/$B$4</f>
        <v/>
      </c>
    </row>
    <row r="31">
      <c r="A31" t="inlineStr">
        <is>
          <t>Accelerated rewards</t>
        </is>
      </c>
      <c r="B31">
        <f>COUNTA(Catalogue!E2:E296)</f>
        <v/>
      </c>
      <c r="C31" s="11">
        <f>B31/$B$4</f>
        <v/>
      </c>
    </row>
    <row r="32">
      <c r="A32" t="inlineStr">
        <is>
          <t>Reward-point value</t>
        </is>
      </c>
      <c r="B32">
        <f>COUNTA(Catalogue!F2:F296)</f>
        <v/>
      </c>
      <c r="C32" s="11">
        <f>B32/$B$4</f>
        <v/>
      </c>
    </row>
    <row r="33">
      <c r="A33" t="inlineStr">
        <is>
          <t>Monthly/quarterly/annual caps</t>
        </is>
      </c>
      <c r="B33">
        <f>COUNTA(Catalogue!G2:G296)</f>
        <v/>
      </c>
      <c r="C33" s="11">
        <f>B33/$B$4</f>
        <v/>
      </c>
    </row>
    <row r="34">
      <c r="A34" t="inlineStr">
        <is>
          <t>Minimum transaction</t>
        </is>
      </c>
      <c r="B34">
        <f>COUNTA(Catalogue!H2:H296)</f>
        <v/>
      </c>
      <c r="C34" s="11">
        <f>B34/$B$4</f>
        <v/>
      </c>
    </row>
    <row r="35">
      <c r="A35" t="inlineStr">
        <is>
          <t>Excluded categories/MCCs</t>
        </is>
      </c>
      <c r="B35">
        <f>COUNTA(Catalogue!I2:I296)</f>
        <v/>
      </c>
      <c r="C35" s="11">
        <f>B35/$B$4</f>
        <v/>
      </c>
    </row>
    <row r="36">
      <c r="A36" t="inlineStr">
        <is>
          <t>Excluded merchants</t>
        </is>
      </c>
      <c r="B36">
        <f>COUNTA(Catalogue!J2:J296)</f>
        <v/>
      </c>
      <c r="C36" s="11">
        <f>B36/$B$4</f>
        <v/>
      </c>
    </row>
    <row r="37">
      <c r="A37" t="inlineStr">
        <is>
          <t>Joining fee</t>
        </is>
      </c>
      <c r="B37">
        <f>COUNTA(Catalogue!K2:K296)</f>
        <v/>
      </c>
      <c r="C37" s="11">
        <f>B37/$B$4</f>
        <v/>
      </c>
    </row>
    <row r="38">
      <c r="A38" t="inlineStr">
        <is>
          <t>Annual fee</t>
        </is>
      </c>
      <c r="B38">
        <f>COUNTA(Catalogue!L2:L296)</f>
        <v/>
      </c>
      <c r="C38" s="11">
        <f>B38/$B$4</f>
        <v/>
      </c>
    </row>
    <row r="39">
      <c r="A39" t="inlineStr">
        <is>
          <t>Fee-waiver condition</t>
        </is>
      </c>
      <c r="B39">
        <f>COUNTA(Catalogue!M2:M296)</f>
        <v/>
      </c>
      <c r="C39" s="11">
        <f>B39/$B$4</f>
        <v/>
      </c>
    </row>
    <row r="40">
      <c r="A40" t="inlineStr">
        <is>
          <t>Forex markup</t>
        </is>
      </c>
      <c r="B40">
        <f>COUNTA(Catalogue!N2:N296)</f>
        <v/>
      </c>
      <c r="C40" s="11">
        <f>B40/$B$4</f>
        <v/>
      </c>
    </row>
    <row r="41">
      <c r="A41" t="inlineStr">
        <is>
          <t>Lounge benefits</t>
        </is>
      </c>
      <c r="B41">
        <f>COUNTA(Catalogue!O2:O296)</f>
        <v/>
      </c>
      <c r="C41" s="11">
        <f>B41/$B$4</f>
        <v/>
      </c>
    </row>
    <row r="42">
      <c r="A42" t="inlineStr">
        <is>
          <t>Milestone benefits</t>
        </is>
      </c>
      <c r="B42">
        <f>COUNTA(Catalogue!P2:P296)</f>
        <v/>
      </c>
      <c r="C42" s="11">
        <f>B42/$B$4</f>
        <v/>
      </c>
    </row>
    <row r="43">
      <c r="A43" t="inlineStr">
        <is>
          <t>Fuel surcharge waiver</t>
        </is>
      </c>
      <c r="B43">
        <f>COUNTA(Catalogue!Q2:Q296)</f>
        <v/>
      </c>
      <c r="C43" s="11">
        <f>B43/$B$4</f>
        <v/>
      </c>
    </row>
    <row r="44">
      <c r="A44" t="inlineStr">
        <is>
          <t>Other benefits</t>
        </is>
      </c>
      <c r="B44">
        <f>COUNTA(Catalogue!R2:R296)</f>
        <v/>
      </c>
      <c r="C44" s="11">
        <f>B44/$B$4</f>
        <v/>
      </c>
    </row>
    <row r="45">
      <c r="A45" t="inlineStr">
        <is>
          <t>Official source URL</t>
        </is>
      </c>
      <c r="B45">
        <f>COUNTA(Catalogue!S2:S296)</f>
        <v/>
      </c>
      <c r="C45" s="11">
        <f>B45/$B$4</f>
        <v/>
      </c>
    </row>
    <row r="46">
      <c r="A46" t="inlineStr">
        <is>
          <t>Effective date</t>
        </is>
      </c>
      <c r="B46">
        <f>COUNTA(Catalogue!T2:T296)</f>
        <v/>
      </c>
      <c r="C46" s="11">
        <f>B46/$B$4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24" customWidth="1" min="3" max="3"/>
    <col width="78" customWidth="1" min="4" max="4"/>
    <col width="60" customWidth="1" min="5" max="5"/>
  </cols>
  <sheetData>
    <row r="1">
      <c r="A1" s="12" t="inlineStr">
        <is>
          <t>Issuer</t>
        </is>
      </c>
      <c r="B1" s="12" t="inlineStr">
        <is>
          <t>Source</t>
        </is>
      </c>
      <c r="C1" s="12" t="inlineStr">
        <is>
          <t>Date / status</t>
        </is>
      </c>
      <c r="D1" s="12" t="inlineStr">
        <is>
          <t>Official URL</t>
        </is>
      </c>
      <c r="E1" s="12" t="inlineStr">
        <is>
          <t>Data / claims used</t>
        </is>
      </c>
    </row>
    <row r="2">
      <c r="A2" s="9" t="inlineStr">
        <is>
          <t>HDFC Bank</t>
        </is>
      </c>
      <c r="B2" s="9" t="inlineStr">
        <is>
          <t>Credit Cards catalogue</t>
        </is>
      </c>
      <c r="C2" s="9" t="inlineStr">
        <is>
          <t>Current</t>
        </is>
      </c>
      <c r="D2" s="13" t="inlineStr">
        <is>
          <t>https://www.hdfc.bank.in/credit-cards</t>
        </is>
      </c>
      <c r="E2" s="9" t="inlineStr">
        <is>
          <t>Card catalogue and card-specific product navigation</t>
        </is>
      </c>
    </row>
    <row r="3">
      <c r="A3" s="9" t="inlineStr">
        <is>
          <t>ICICI Bank</t>
        </is>
      </c>
      <c r="B3" s="9" t="inlineStr">
        <is>
          <t>Credit Cards catalogue</t>
        </is>
      </c>
      <c r="C3" s="9" t="inlineStr">
        <is>
          <t>Current</t>
        </is>
      </c>
      <c r="D3" s="13" t="inlineStr">
        <is>
          <t>https://www.icicibank.com/personal-banking/cards/credit-card</t>
        </is>
      </c>
      <c r="E3" s="9" t="inlineStr">
        <is>
          <t>Current cards and product pages</t>
        </is>
      </c>
    </row>
    <row r="4">
      <c r="A4" s="9" t="inlineStr">
        <is>
          <t>Axis Bank</t>
        </is>
      </c>
      <c r="B4" s="9" t="inlineStr">
        <is>
          <t>Schedule of Charges / KFS</t>
        </is>
      </c>
      <c r="C4" s="9" t="inlineStr">
        <is>
          <t>Current</t>
        </is>
      </c>
      <c r="D4" s="13" t="inlineStr">
        <is>
          <t>https://www.axisbank.com/docs/default-source/default-document-library/sosc-credit-cards.pdf</t>
        </is>
      </c>
      <c r="E4" s="9" t="inlineStr">
        <is>
          <t>Fees, fuel-waiver and transaction-charge rules across card variants</t>
        </is>
      </c>
    </row>
    <row r="5">
      <c r="A5" s="9" t="inlineStr">
        <is>
          <t>Axis Bank</t>
        </is>
      </c>
      <c r="B5" s="9" t="inlineStr">
        <is>
          <t>Cashback Credit Card T&amp;C</t>
        </is>
      </c>
      <c r="C5" s="9" t="inlineStr">
        <is>
          <t>Current</t>
        </is>
      </c>
      <c r="D5" s="13" t="inlineStr">
        <is>
          <t>https://www.axisbank.com/docs/default-source/ld/axis-bank-cashback-credit-card-tnc.pdf</t>
        </is>
      </c>
      <c r="E5" s="9" t="inlineStr">
        <is>
          <t>Cashback earn, caps, exclusions and fee-waiver terms</t>
        </is>
      </c>
    </row>
    <row r="6">
      <c r="A6" s="9" t="inlineStr">
        <is>
          <t>SBI Card</t>
        </is>
      </c>
      <c r="B6" s="9" t="inlineStr">
        <is>
          <t>Credit Cards catalogue</t>
        </is>
      </c>
      <c r="C6" s="9" t="inlineStr">
        <is>
          <t>Current</t>
        </is>
      </c>
      <c r="D6" s="13" t="inlineStr">
        <is>
          <t>https://www.sbicard.com/en/personal/sbi-credit-card.page</t>
        </is>
      </c>
      <c r="E6" s="9" t="inlineStr">
        <is>
          <t>Current card features</t>
        </is>
      </c>
    </row>
    <row r="7">
      <c r="A7" s="9" t="inlineStr">
        <is>
          <t>SBI Card</t>
        </is>
      </c>
      <c r="B7" s="9" t="inlineStr">
        <is>
          <t>Most Important Terms &amp; Conditions</t>
        </is>
      </c>
      <c r="C7" s="9" t="inlineStr">
        <is>
          <t>Current</t>
        </is>
      </c>
      <c r="D7" s="13" t="inlineStr">
        <is>
          <t>https://www.sbicard.com/en/most-important-terms-and-conditions.page</t>
        </is>
      </c>
      <c r="E7" s="9" t="inlineStr">
        <is>
          <t>Issuer fees, charges and card-level conditions</t>
        </is>
      </c>
    </row>
    <row r="8">
      <c r="A8" s="9" t="inlineStr">
        <is>
          <t>Kotak Mahindra Bank</t>
        </is>
      </c>
      <c r="B8" s="9" t="inlineStr">
        <is>
          <t>Credit Cards catalogue</t>
        </is>
      </c>
      <c r="C8" s="9" t="inlineStr">
        <is>
          <t>Current</t>
        </is>
      </c>
      <c r="D8" s="13" t="inlineStr">
        <is>
          <t>https://www.kotak.bank.in/en/personal-banking/cards/credit-cards.html</t>
        </is>
      </c>
      <c r="E8" s="9" t="inlineStr">
        <is>
          <t>Current cards, fees and headline benefits</t>
        </is>
      </c>
    </row>
    <row r="9">
      <c r="A9" s="9" t="inlineStr">
        <is>
          <t>IDFC FIRST Bank</t>
        </is>
      </c>
      <c r="B9" s="9" t="inlineStr">
        <is>
          <t>Credit Cards catalogue</t>
        </is>
      </c>
      <c r="C9" s="9" t="inlineStr">
        <is>
          <t>Current</t>
        </is>
      </c>
      <c r="D9" s="13" t="inlineStr">
        <is>
          <t>https://www.idfcfirstbank.com/credit-card</t>
        </is>
      </c>
      <c r="E9" s="9" t="inlineStr">
        <is>
          <t>Current card comparison and product features</t>
        </is>
      </c>
    </row>
    <row r="10">
      <c r="A10" s="9" t="inlineStr">
        <is>
          <t>IDFC FIRST Bank</t>
        </is>
      </c>
      <c r="B10" s="9" t="inlineStr">
        <is>
          <t>MITC / Fees and Charges</t>
        </is>
      </c>
      <c r="C10" s="9" t="inlineStr">
        <is>
          <t>Current</t>
        </is>
      </c>
      <c r="D10" s="13" t="inlineStr">
        <is>
          <t>https://www.idfcfirstbank.com/credit-card/fees-and-charges</t>
        </is>
      </c>
      <c r="E10" s="9" t="inlineStr">
        <is>
          <t>Joining/annual fees, forex, surcharge and other card terms</t>
        </is>
      </c>
    </row>
    <row r="11">
      <c r="A11" s="9" t="inlineStr">
        <is>
          <t>IndusInd Bank</t>
        </is>
      </c>
      <c r="B11" s="9" t="inlineStr">
        <is>
          <t>Credit Cards catalogue</t>
        </is>
      </c>
      <c r="C11" s="9" t="inlineStr">
        <is>
          <t>Current/legacy</t>
        </is>
      </c>
      <c r="D11" s="13" t="inlineStr">
        <is>
          <t>https://www.indusind.bank.in/in/en/personal/cards/credit-card.html</t>
        </is>
      </c>
      <c r="E11" s="9" t="inlineStr">
        <is>
          <t>Current and retained legacy card feature material</t>
        </is>
      </c>
    </row>
    <row r="12">
      <c r="A12" s="9" t="inlineStr">
        <is>
          <t>AU Small Finance Bank</t>
        </is>
      </c>
      <c r="B12" s="9" t="inlineStr">
        <is>
          <t>Credit Cards catalogue</t>
        </is>
      </c>
      <c r="C12" s="9" t="inlineStr">
        <is>
          <t>Current</t>
        </is>
      </c>
      <c r="D12" s="13" t="inlineStr">
        <is>
          <t>https://www.au.bank.in/personal-banking/credit-cards</t>
        </is>
      </c>
      <c r="E12" s="9" t="inlineStr">
        <is>
          <t>Current cards and product benefits</t>
        </is>
      </c>
    </row>
    <row r="13">
      <c r="A13" s="9" t="inlineStr">
        <is>
          <t>AU Small Finance Bank</t>
        </is>
      </c>
      <c r="B13" s="9" t="inlineStr">
        <is>
          <t>Key Fact Statement v1.8</t>
        </is>
      </c>
      <c r="C13" s="9" t="inlineStr">
        <is>
          <t>2026-07-07</t>
        </is>
      </c>
      <c r="D13" s="13" t="inlineStr">
        <is>
          <t>https://www.au.bank.in/pdf/credit-card/Schedule-of-Charges-CC.pdf</t>
        </is>
      </c>
      <c r="E13" s="9" t="inlineStr">
        <is>
          <t>Fees, forex markup and fuel surcharge waiver</t>
        </is>
      </c>
    </row>
    <row r="14">
      <c r="A14" s="9" t="inlineStr">
        <is>
          <t>YES BANK</t>
        </is>
      </c>
      <c r="B14" s="9" t="inlineStr">
        <is>
          <t>Credit Cards catalogue</t>
        </is>
      </c>
      <c r="C14" s="9" t="inlineStr">
        <is>
          <t>Current</t>
        </is>
      </c>
      <c r="D14" s="13" t="inlineStr">
        <is>
          <t>https://www.yes.bank.in/personal-banking/yes-individual/cards/credit-cards</t>
        </is>
      </c>
      <c r="E14" s="9" t="inlineStr">
        <is>
          <t>Current products, headline rewards/fees/lounge/forex</t>
        </is>
      </c>
    </row>
    <row r="15">
      <c r="A15" s="9" t="inlineStr">
        <is>
          <t>YES BANK</t>
        </is>
      </c>
      <c r="B15" s="9" t="inlineStr">
        <is>
          <t>Retail Cards Key Fact Statement V15</t>
        </is>
      </c>
      <c r="C15" s="9" t="inlineStr">
        <is>
          <t>2025-09-23</t>
        </is>
      </c>
      <c r="D15" s="13" t="inlineStr">
        <is>
          <t>https://www.yesbank.in/content/published/api/v1.1/assets/CONT07A77C257C7A4BDD85DB97E51D2B5B8F/native/yesbank_key_fact_statement.pdf?channelToken=21f7ccfa2fc3401091938f541a6f8f2a&amp;download=false</t>
        </is>
      </c>
      <c r="E15" s="9" t="inlineStr">
        <is>
          <t>Membership fees and card fee rules</t>
        </is>
      </c>
    </row>
    <row r="16">
      <c r="A16" s="9" t="inlineStr">
        <is>
          <t>RBL Bank</t>
        </is>
      </c>
      <c r="B16" s="9" t="inlineStr">
        <is>
          <t>Credit Card Cardmember Agreement</t>
        </is>
      </c>
      <c r="C16" s="9" t="inlineStr">
        <is>
          <t>2026-08-13</t>
        </is>
      </c>
      <c r="D16" s="13" t="inlineStr">
        <is>
          <t>https://webassets.rblbank.com/document/credit-cards/rbl-cc-cardmember-agreement.pdf</t>
        </is>
      </c>
      <c r="E16" s="9" t="inlineStr">
        <is>
          <t>Current agreement and product-specific T&amp;C links, including many legacy cards</t>
        </is>
      </c>
    </row>
    <row r="17">
      <c r="A17" s="9" t="inlineStr">
        <is>
          <t>American Express India</t>
        </is>
      </c>
      <c r="B17" s="9" t="inlineStr">
        <is>
          <t>All Cards</t>
        </is>
      </c>
      <c r="C17" s="9" t="inlineStr">
        <is>
          <t>Current</t>
        </is>
      </c>
      <c r="D17" s="13" t="inlineStr">
        <is>
          <t>https://www.americanexpress.com/in/credit-cards/all-cards/</t>
        </is>
      </c>
      <c r="E17" s="9" t="inlineStr">
        <is>
          <t>Current card products and benefits</t>
        </is>
      </c>
    </row>
    <row r="18">
      <c r="A18" s="9" t="inlineStr">
        <is>
          <t>American Express India</t>
        </is>
      </c>
      <c r="B18" s="9" t="inlineStr">
        <is>
          <t>Schedule of Fees and Charges</t>
        </is>
      </c>
      <c r="C18" s="9" t="inlineStr">
        <is>
          <t>2025-08-31</t>
        </is>
      </c>
      <c r="D18" s="13" t="inlineStr">
        <is>
          <t>https://www.americanexpress.com/content/dam/amex/in/legal-disclosures/Schedule-of-Fee-and-Charges.pdf?inav=in_sitefooter_top_links_schedule_of_fees_and_charges</t>
        </is>
      </c>
      <c r="E18" s="9" t="inlineStr">
        <is>
          <t>Consumer card fees, forex conversion factor and fuel fees</t>
        </is>
      </c>
    </row>
    <row r="19">
      <c r="A19" s="9" t="inlineStr">
        <is>
          <t>HSBC India</t>
        </is>
      </c>
      <c r="B19" s="9" t="inlineStr">
        <is>
          <t>Credit Cards</t>
        </is>
      </c>
      <c r="C19" s="9" t="inlineStr">
        <is>
          <t>Current</t>
        </is>
      </c>
      <c r="D19" s="13" t="inlineStr">
        <is>
          <t>https://www.hsbc.bank.in/credit-cards/</t>
        </is>
      </c>
      <c r="E19" s="9" t="inlineStr">
        <is>
          <t>Current cards and product pages</t>
        </is>
      </c>
    </row>
    <row r="20">
      <c r="A20" s="9" t="inlineStr">
        <is>
          <t>Standard Chartered India</t>
        </is>
      </c>
      <c r="B20" s="9" t="inlineStr">
        <is>
          <t>Card for every lifestyle</t>
        </is>
      </c>
      <c r="C20" s="9" t="inlineStr">
        <is>
          <t>Current official story</t>
        </is>
      </c>
      <c r="D20" s="13" t="inlineStr">
        <is>
          <t>https://www.sc.com/in/stories/what-gets-you-going-a-card-for-every-lifestyle/</t>
        </is>
      </c>
      <c r="E20" s="9" t="inlineStr">
        <is>
          <t>Current/legacy reward descriptions for several cards</t>
        </is>
      </c>
    </row>
    <row r="21">
      <c r="A21" s="9" t="inlineStr">
        <is>
          <t>Standard Chartered India</t>
        </is>
      </c>
      <c r="B21" s="9" t="inlineStr">
        <is>
          <t>Smart Card cashback</t>
        </is>
      </c>
      <c r="C21" s="9" t="inlineStr">
        <is>
          <t>Current</t>
        </is>
      </c>
      <c r="D21" s="13" t="inlineStr">
        <is>
          <t>https://www.sc.com/in/stories/cc-smart-card-assured-eighteenk-cashback/</t>
        </is>
      </c>
      <c r="E21" s="9" t="inlineStr">
        <is>
          <t>Smart card cashback rates and caps</t>
        </is>
      </c>
    </row>
    <row r="22">
      <c r="A22" s="9" t="inlineStr">
        <is>
          <t>slice Small Finance Bank</t>
        </is>
      </c>
      <c r="B22" s="9" t="inlineStr">
        <is>
          <t>slice UPI Credit Card</t>
        </is>
      </c>
      <c r="C22" s="9" t="inlineStr">
        <is>
          <t>Current</t>
        </is>
      </c>
      <c r="D22" s="13" t="inlineStr">
        <is>
          <t>https://slice.bank.in/credit-card/</t>
        </is>
      </c>
      <c r="E22" s="9" t="inlineStr">
        <is>
          <t>Fees, cashback, forex and instalment feature</t>
        </is>
      </c>
    </row>
    <row r="23">
      <c r="A23" s="9" t="inlineStr">
        <is>
          <t>BOBCARD</t>
        </is>
      </c>
      <c r="B23" s="9" t="inlineStr">
        <is>
          <t>Compare Cards</t>
        </is>
      </c>
      <c r="C23" s="9" t="inlineStr">
        <is>
          <t>Current</t>
        </is>
      </c>
      <c r="D23" s="13" t="inlineStr">
        <is>
          <t>https://www.bobcard.co.in/compare-cards</t>
        </is>
      </c>
      <c r="E23" s="9" t="inlineStr">
        <is>
          <t>Current BOBCARD catalogue including all 11 listed variants</t>
        </is>
      </c>
    </row>
    <row r="24">
      <c r="A24" s="9" t="inlineStr">
        <is>
          <t>Federal Bank</t>
        </is>
      </c>
      <c r="B24" s="9" t="inlineStr">
        <is>
          <t>Credit Cards catalogue</t>
        </is>
      </c>
      <c r="C24" s="9" t="inlineStr">
        <is>
          <t>Current</t>
        </is>
      </c>
      <c r="D24" s="13" t="inlineStr">
        <is>
          <t>https://www.federalbank.co.in/en/credit-cards</t>
        </is>
      </c>
      <c r="E24" s="9" t="inlineStr">
        <is>
          <t>Current Federal Bank card variants/features</t>
        </is>
      </c>
    </row>
    <row r="25">
      <c r="A25" s="9" t="inlineStr">
        <is>
          <t>Federal Bank</t>
        </is>
      </c>
      <c r="B25" s="9" t="inlineStr">
        <is>
          <t>Credit Cards KFS / General Terms</t>
        </is>
      </c>
      <c r="C25" s="9" t="inlineStr">
        <is>
          <t>Current</t>
        </is>
      </c>
      <c r="D25" s="13" t="inlineStr">
        <is>
          <t>https://www.federalbank.co.in/-/credit-cards-general-terms-and-conditions-1</t>
        </is>
      </c>
      <c r="E25" s="9" t="inlineStr">
        <is>
          <t>Current fees and forex markup for Federal Bank variants</t>
        </is>
      </c>
    </row>
    <row r="27">
      <c r="A27" s="14" t="inlineStr">
        <is>
          <t>Second-pass reward/cashback sources</t>
        </is>
      </c>
    </row>
    <row r="28">
      <c r="A28" s="15" t="inlineStr">
        <is>
          <t>Card</t>
        </is>
      </c>
      <c r="B28" s="15" t="inlineStr">
        <is>
          <t>Issuer</t>
        </is>
      </c>
      <c r="C28" s="15" t="inlineStr">
        <is>
          <t>Reward source type</t>
        </is>
      </c>
      <c r="D28" s="15" t="inlineStr">
        <is>
          <t>Reward source URL</t>
        </is>
      </c>
      <c r="E28" s="15" t="inlineStr">
        <is>
          <t>Research note</t>
        </is>
      </c>
    </row>
    <row r="29">
      <c r="A29" t="inlineStr">
        <is>
          <t>IndianOil HDFC Bank Credit Card</t>
        </is>
      </c>
      <c r="B29" t="inlineStr">
        <is>
          <t>HDFC Bank</t>
        </is>
      </c>
      <c r="C29" t="inlineStr">
        <is>
          <t>Official issuer</t>
        </is>
      </c>
      <c r="D29" t="inlineStr">
        <is>
          <t>https://www.hdfc.bank.in/credit-cards/indianoil-hdfc-bank-credit-card</t>
        </is>
      </c>
      <c r="E29" t="inlineStr">
        <is>
          <t>Second-pass reward/cashback research; populated only from located source material.</t>
        </is>
      </c>
    </row>
    <row r="30">
      <c r="A30" t="inlineStr">
        <is>
          <t>Tata Neu Infinity HDFC Bank Credit Card</t>
        </is>
      </c>
      <c r="B30" t="inlineStr">
        <is>
          <t>HDFC Bank</t>
        </is>
      </c>
      <c r="C30" t="inlineStr">
        <is>
          <t>Official issuer</t>
        </is>
      </c>
      <c r="D30" t="inlineStr">
        <is>
          <t>https://www.hdfc.bank.in/credit-cards/tata-neu-infinity-hdfc-bank-credit-card</t>
        </is>
      </c>
      <c r="E30" t="inlineStr">
        <is>
          <t>Second-pass reward/cashback research; populated only from located source material.</t>
        </is>
      </c>
    </row>
    <row r="31">
      <c r="A31" t="inlineStr">
        <is>
          <t>HDFC Bank Freedom Credit Card</t>
        </is>
      </c>
      <c r="B31" t="inlineStr">
        <is>
          <t>HDFC Bank</t>
        </is>
      </c>
      <c r="C31" t="inlineStr">
        <is>
          <t>Official issuer</t>
        </is>
      </c>
      <c r="D31" t="inlineStr">
        <is>
          <t>https://www.hdfc.bank.in/credit-cards/freedom-credit-card</t>
        </is>
      </c>
      <c r="E31" t="inlineStr">
        <is>
          <t>Second-pass reward/cashback research; populated only from located source material.</t>
        </is>
      </c>
    </row>
    <row r="32">
      <c r="A32" t="inlineStr">
        <is>
          <t>PhonePe HDFC Bank Uno Credit Card</t>
        </is>
      </c>
      <c r="B32" t="inlineStr">
        <is>
          <t>HDFC Bank</t>
        </is>
      </c>
      <c r="C32" t="inlineStr">
        <is>
          <t>Official issuer</t>
        </is>
      </c>
      <c r="D32" t="inlineStr">
        <is>
          <t>https://www.hdfc.bank.in/credit-cards/phonepe-hdfc-bank-uno-credit-card</t>
        </is>
      </c>
      <c r="E32" t="inlineStr">
        <is>
          <t>Second-pass reward/cashback research; populated only from located source material.</t>
        </is>
      </c>
    </row>
    <row r="33">
      <c r="A33" t="inlineStr">
        <is>
          <t>PhonePe HDFC Bank Ultimo Credit Card</t>
        </is>
      </c>
      <c r="B33" t="inlineStr">
        <is>
          <t>HDFC Bank</t>
        </is>
      </c>
      <c r="C33" t="inlineStr">
        <is>
          <t>Official issuer</t>
        </is>
      </c>
      <c r="D33" t="inlineStr">
        <is>
          <t>https://www.hdfc.bank.in/credit-cards/phonepe-hdfc-bank-ultimo-credit-card</t>
        </is>
      </c>
      <c r="E33" t="inlineStr">
        <is>
          <t>Second-pass reward/cashback research; populated only from located source material.</t>
        </is>
      </c>
    </row>
    <row r="34">
      <c r="A34" t="inlineStr">
        <is>
          <t>HDFC Bank Diners Club Black Metal Edition Credit Card</t>
        </is>
      </c>
      <c r="B34" t="inlineStr">
        <is>
          <t>HDFC Bank</t>
        </is>
      </c>
      <c r="C34" t="inlineStr">
        <is>
          <t>Official issuer</t>
        </is>
      </c>
      <c r="D34" t="inlineStr">
        <is>
          <t>https://v.hdfc.bank.in/htdocs/amp/personal/pay/cards/credit-cards/diners-club-black-metal-edition.html</t>
        </is>
      </c>
      <c r="E34" t="inlineStr">
        <is>
          <t>Second-pass reward/cashback research; populated only from located source material.</t>
        </is>
      </c>
    </row>
    <row r="35">
      <c r="A35" t="inlineStr">
        <is>
          <t>HDFC Bank PIXEL Play Credit Card</t>
        </is>
      </c>
      <c r="B35" t="inlineStr">
        <is>
          <t>HDFC Bank</t>
        </is>
      </c>
      <c r="C35" t="inlineStr">
        <is>
          <t>Official issuer</t>
        </is>
      </c>
      <c r="D35" t="inlineStr">
        <is>
          <t>https://www.hdfc.bank.in/content/dam/hdfcbankpws/in/en/personal-banking/discover-products/cards/credit-cards/pixel-play-credit-card/terms-and-conditions-pixel-play-credit-card-16122025.pdf</t>
        </is>
      </c>
      <c r="E35" t="inlineStr">
        <is>
          <t>Second-pass reward/cashback research; populated only from located source material.</t>
        </is>
      </c>
    </row>
    <row r="36">
      <c r="A36" t="inlineStr">
        <is>
          <t>HDFC Bank PIXEL Go Credit Card</t>
        </is>
      </c>
      <c r="B36" t="inlineStr">
        <is>
          <t>HDFC Bank</t>
        </is>
      </c>
      <c r="C36" t="inlineStr">
        <is>
          <t>Official issuer</t>
        </is>
      </c>
      <c r="D36" t="inlineStr">
        <is>
          <t>https://www.hdfc.bank.in/credit-cards/pixel-go-credit-card</t>
        </is>
      </c>
      <c r="E36" t="inlineStr">
        <is>
          <t>Second-pass reward/cashback research; populated only from located source material.</t>
        </is>
      </c>
    </row>
    <row r="37">
      <c r="A37" t="inlineStr">
        <is>
          <t>HDFC Bank UPI RuPay Credit Card</t>
        </is>
      </c>
      <c r="B37" t="inlineStr">
        <is>
          <t>HDFC Bank</t>
        </is>
      </c>
      <c r="C37" t="inlineStr">
        <is>
          <t>Official issuer</t>
        </is>
      </c>
      <c r="D37" t="inlineStr">
        <is>
          <t>https://www.hdfc.bank.in/credit-cards/hdfc-bank-upi-rupay-credit-card</t>
        </is>
      </c>
      <c r="E37" t="inlineStr">
        <is>
          <t>Second-pass reward/cashback research; populated only from located source material.</t>
        </is>
      </c>
    </row>
    <row r="38">
      <c r="A38" t="inlineStr">
        <is>
          <t>HDFC Bank Regalia Gold Credit Card</t>
        </is>
      </c>
      <c r="B38" t="inlineStr">
        <is>
          <t>HDFC Bank</t>
        </is>
      </c>
      <c r="C38" t="inlineStr">
        <is>
          <t>Official issuer</t>
        </is>
      </c>
      <c r="D38" t="inlineStr">
        <is>
          <t>https://www.hdfc.bank.in/blogs/regalia-gold-credit-card/redeem-regalia-gold-credit-card-reward-points</t>
        </is>
      </c>
      <c r="E38" t="inlineStr">
        <is>
          <t>Second-pass reward/cashback research; populated only from located source material.</t>
        </is>
      </c>
    </row>
    <row r="39">
      <c r="A39" t="inlineStr">
        <is>
          <t>Tata Neu Plus HDFC Bank Credit Card</t>
        </is>
      </c>
      <c r="B39" t="inlineStr">
        <is>
          <t>HDFC Bank</t>
        </is>
      </c>
      <c r="C39" t="inlineStr">
        <is>
          <t>Official issuer</t>
        </is>
      </c>
      <c r="D39" t="inlineStr">
        <is>
          <t>https://www.hdfc.bank.in/credit-cards/tata-neu-plus-hdfc-bank-credit-card</t>
        </is>
      </c>
      <c r="E39" t="inlineStr">
        <is>
          <t>Second-pass reward/cashback research; populated only from located source material.</t>
        </is>
      </c>
    </row>
    <row r="40">
      <c r="A40" t="inlineStr">
        <is>
          <t>Swiggy HDFC Bank Credit Card</t>
        </is>
      </c>
      <c r="B40" t="inlineStr">
        <is>
          <t>HDFC Bank</t>
        </is>
      </c>
      <c r="C40" t="inlineStr">
        <is>
          <t>Official issuer</t>
        </is>
      </c>
      <c r="D40" t="inlineStr">
        <is>
          <t>https://www.hdfc.bank.in/credit-cards/swiggy-hdfc-bank-credit-card</t>
        </is>
      </c>
      <c r="E40" t="inlineStr">
        <is>
          <t>Second-pass reward/cashback research; populated only from located source material.</t>
        </is>
      </c>
    </row>
    <row r="41">
      <c r="A41" t="inlineStr">
        <is>
          <t>Swiggy Ornge HDFC Bank Credit Card</t>
        </is>
      </c>
      <c r="B41" t="inlineStr">
        <is>
          <t>HDFC Bank</t>
        </is>
      </c>
      <c r="C41" t="inlineStr">
        <is>
          <t>Official issuer</t>
        </is>
      </c>
      <c r="D41" t="inlineStr">
        <is>
          <t>https://www.hdfc.bank.in/credit-cards/swiggy-ornge-hdfc-bank-credit-card</t>
        </is>
      </c>
      <c r="E41" t="inlineStr">
        <is>
          <t>Second-pass reward/cashback research; populated only from located source material.</t>
        </is>
      </c>
    </row>
    <row r="42">
      <c r="A42" t="inlineStr">
        <is>
          <t>Swiggy BLCK HDFC Bank Credit Card</t>
        </is>
      </c>
      <c r="B42" t="inlineStr">
        <is>
          <t>HDFC Bank</t>
        </is>
      </c>
      <c r="C42" t="inlineStr">
        <is>
          <t>Official issuer</t>
        </is>
      </c>
      <c r="D42" t="inlineStr">
        <is>
          <t>https://www.hdfc.bank.in/credit-cards/swiggy-blck-hdfc-bank-credit-card</t>
        </is>
      </c>
      <c r="E42" t="inlineStr">
        <is>
          <t>Second-pass reward/cashback research; populated only from located source material.</t>
        </is>
      </c>
    </row>
    <row r="43">
      <c r="A43" t="inlineStr">
        <is>
          <t>Marriott Bonvoy HDFC Bank Credit Card</t>
        </is>
      </c>
      <c r="B43" t="inlineStr">
        <is>
          <t>HDFC Bank</t>
        </is>
      </c>
      <c r="C43" t="inlineStr">
        <is>
          <t>Official issuer</t>
        </is>
      </c>
      <c r="D43" t="inlineStr">
        <is>
          <t>https://www.hdfc.bank.in/credit-cards/marriott-bonvoy-credit-card</t>
        </is>
      </c>
      <c r="E43" t="inlineStr">
        <is>
          <t>Second-pass reward/cashback research; populated only from located source material.</t>
        </is>
      </c>
    </row>
    <row r="44">
      <c r="A44" t="inlineStr">
        <is>
          <t>IRCTC HDFC Bank Credit Card</t>
        </is>
      </c>
      <c r="B44" t="inlineStr">
        <is>
          <t>HDFC Bank</t>
        </is>
      </c>
      <c r="C44" t="inlineStr">
        <is>
          <t>Official issuer</t>
        </is>
      </c>
      <c r="D44" t="inlineStr">
        <is>
          <t>https://www.hdfc.bank.in/credit-cards/irctc-credit-card</t>
        </is>
      </c>
      <c r="E44" t="inlineStr">
        <is>
          <t>Second-pass reward/cashback research; populated only from located source material.</t>
        </is>
      </c>
    </row>
    <row r="45">
      <c r="A45" t="inlineStr">
        <is>
          <t>HDFC Bank INFINIA Metal Edition Credit Card</t>
        </is>
      </c>
      <c r="B45" t="inlineStr">
        <is>
          <t>HDFC Bank</t>
        </is>
      </c>
      <c r="C45" t="inlineStr">
        <is>
          <t>Official issuer</t>
        </is>
      </c>
      <c r="D45" t="inlineStr">
        <is>
          <t>https://www.hdfc.bank.in/credit-cards/infinia-credit-card</t>
        </is>
      </c>
      <c r="E45" t="inlineStr">
        <is>
          <t>Second-pass reward/cashback research; populated only from located source material.</t>
        </is>
      </c>
    </row>
    <row r="46">
      <c r="A46" t="inlineStr">
        <is>
          <t>ICICI Bank Coral Credit Card</t>
        </is>
      </c>
      <c r="B46" t="inlineStr">
        <is>
          <t>ICICI Bank</t>
        </is>
      </c>
      <c r="C46" t="inlineStr">
        <is>
          <t>Official issuer</t>
        </is>
      </c>
      <c r="D46" t="inlineStr">
        <is>
          <t>https://www.icici.bank.in/personal-banking/cards/credit-card/coral-credit-card</t>
        </is>
      </c>
      <c r="E46" t="inlineStr">
        <is>
          <t>Second-pass reward/cashback research; populated only from located source material.</t>
        </is>
      </c>
    </row>
    <row r="47">
      <c r="A47" t="inlineStr">
        <is>
          <t>ICICI Bank Sapphiro Credit Card</t>
        </is>
      </c>
      <c r="B47" t="inlineStr">
        <is>
          <t>ICICI Bank</t>
        </is>
      </c>
      <c r="C47" t="inlineStr">
        <is>
          <t>Official issuer</t>
        </is>
      </c>
      <c r="D47" t="inlineStr">
        <is>
          <t>https://www.icici.bank.in/personal-banking/cards/credit-card</t>
        </is>
      </c>
      <c r="E47" t="inlineStr">
        <is>
          <t>Second-pass reward/cashback research; populated only from located source material.</t>
        </is>
      </c>
    </row>
    <row r="48">
      <c r="A48" t="inlineStr">
        <is>
          <t>Times Black ICICI Bank Credit Card</t>
        </is>
      </c>
      <c r="B48" t="inlineStr">
        <is>
          <t>ICICI Bank</t>
        </is>
      </c>
      <c r="C48" t="inlineStr">
        <is>
          <t>Official issuer</t>
        </is>
      </c>
      <c r="D48" t="inlineStr">
        <is>
          <t>https://www.icici.bank.in/personal-banking/cards/credit-card/times-black-icici-credit-card</t>
        </is>
      </c>
      <c r="E48" t="inlineStr">
        <is>
          <t>Second-pass reward/cashback research; populated only from located source material.</t>
        </is>
      </c>
    </row>
    <row r="49">
      <c r="A49" t="inlineStr">
        <is>
          <t>ICICI Bank Emeralde Credit Card</t>
        </is>
      </c>
      <c r="B49" t="inlineStr">
        <is>
          <t>ICICI Bank</t>
        </is>
      </c>
      <c r="C49" t="inlineStr">
        <is>
          <t>Official issuer</t>
        </is>
      </c>
      <c r="D49" t="inlineStr">
        <is>
          <t>https://www.icici.bank.in/personal-banking/cards/credit-card</t>
        </is>
      </c>
      <c r="E49" t="inlineStr">
        <is>
          <t>Second-pass reward/cashback research; populated only from located source material.</t>
        </is>
      </c>
    </row>
    <row r="50">
      <c r="A50" t="inlineStr">
        <is>
          <t>ICICI Bank Rubyx Credit Card</t>
        </is>
      </c>
      <c r="B50" t="inlineStr">
        <is>
          <t>ICICI Bank</t>
        </is>
      </c>
      <c r="C50" t="inlineStr">
        <is>
          <t>Official issuer</t>
        </is>
      </c>
      <c r="D50" t="inlineStr">
        <is>
          <t>https://www.icici.bank.in/personal-banking/cards/credit-card</t>
        </is>
      </c>
      <c r="E50" t="inlineStr">
        <is>
          <t>Second-pass reward/cashback research; populated only from located source material.</t>
        </is>
      </c>
    </row>
    <row r="51">
      <c r="A51" t="inlineStr">
        <is>
          <t>ICICI Bank Platinum Chip Credit Card</t>
        </is>
      </c>
      <c r="B51" t="inlineStr">
        <is>
          <t>ICICI Bank</t>
        </is>
      </c>
      <c r="C51" t="inlineStr">
        <is>
          <t>Official issuer</t>
        </is>
      </c>
      <c r="D51" t="inlineStr">
        <is>
          <t>https://www.icici.bank.in/personal-banking/cards/credit-card/platinum-chip-credit-card</t>
        </is>
      </c>
      <c r="E51" t="inlineStr">
        <is>
          <t>Second-pass reward/cashback research; populated only from located source material.</t>
        </is>
      </c>
    </row>
    <row r="52">
      <c r="A52" t="inlineStr">
        <is>
          <t>Adani One ICICI Bank Signature Credit Card</t>
        </is>
      </c>
      <c r="B52" t="inlineStr">
        <is>
          <t>ICICI Bank</t>
        </is>
      </c>
      <c r="C52" t="inlineStr">
        <is>
          <t>Official issuer</t>
        </is>
      </c>
      <c r="D52" t="inlineStr">
        <is>
          <t>https://www.icici.bank.in/personal-banking/cards/credit-card/adani-icici-credit-card/signature-credit-card</t>
        </is>
      </c>
      <c r="E52" t="inlineStr">
        <is>
          <t>Second-pass reward/cashback research; populated only from located source material.</t>
        </is>
      </c>
    </row>
    <row r="53">
      <c r="A53" t="inlineStr">
        <is>
          <t>Adani One ICICI Bank Platinum Credit Card</t>
        </is>
      </c>
      <c r="B53" t="inlineStr">
        <is>
          <t>ICICI Bank</t>
        </is>
      </c>
      <c r="C53" t="inlineStr">
        <is>
          <t>Official issuer</t>
        </is>
      </c>
      <c r="D53" t="inlineStr">
        <is>
          <t>https://www.icici.bank.in/personal-banking/cards/credit-card/adani-icici-credit-card/platinum-credit-card</t>
        </is>
      </c>
      <c r="E53" t="inlineStr">
        <is>
          <t>Second-pass reward/cashback research; populated only from located source material.</t>
        </is>
      </c>
    </row>
    <row r="54">
      <c r="A54" t="inlineStr">
        <is>
          <t>Emirates ICICI Bank Emeralde Credit Card</t>
        </is>
      </c>
      <c r="B54" t="inlineStr">
        <is>
          <t>ICICI Bank</t>
        </is>
      </c>
      <c r="C54" t="inlineStr">
        <is>
          <t>Official issuer</t>
        </is>
      </c>
      <c r="D54" t="inlineStr">
        <is>
          <t>https://www.icici.bank.in/personal-banking/cards/credit-card/emirates-skywards/emirates-emeralde</t>
        </is>
      </c>
      <c r="E54" t="inlineStr">
        <is>
          <t>Second-pass reward/cashback research; populated only from located source material.</t>
        </is>
      </c>
    </row>
    <row r="55">
      <c r="A55" t="inlineStr">
        <is>
          <t>Emirates ICICI Bank Sapphiro Credit Card</t>
        </is>
      </c>
      <c r="B55" t="inlineStr">
        <is>
          <t>ICICI Bank</t>
        </is>
      </c>
      <c r="C55" t="inlineStr">
        <is>
          <t>Official issuer</t>
        </is>
      </c>
      <c r="D55" t="inlineStr">
        <is>
          <t>https://www.icici.bank.in/personal-banking/cards/credit-card</t>
        </is>
      </c>
      <c r="E55" t="inlineStr">
        <is>
          <t>Second-pass reward/cashback research; populated only from located source material.</t>
        </is>
      </c>
    </row>
    <row r="56">
      <c r="A56" t="inlineStr">
        <is>
          <t>HPCL ICICI Bank Coral Credit Card</t>
        </is>
      </c>
      <c r="B56" t="inlineStr">
        <is>
          <t>ICICI Bank</t>
        </is>
      </c>
      <c r="C56" t="inlineStr">
        <is>
          <t>Official issuer</t>
        </is>
      </c>
      <c r="D56" t="inlineStr">
        <is>
          <t>https://www.icici.bank.in/personal-banking/cards/credit-card/hpcl-coral-credit-card</t>
        </is>
      </c>
      <c r="E56" t="inlineStr">
        <is>
          <t>Second-pass reward/cashback research; populated only from located source material.</t>
        </is>
      </c>
    </row>
    <row r="57">
      <c r="A57" t="inlineStr">
        <is>
          <t>ICICI Bank Expressions Credit Card</t>
        </is>
      </c>
      <c r="B57" t="inlineStr">
        <is>
          <t>ICICI Bank</t>
        </is>
      </c>
      <c r="C57" t="inlineStr">
        <is>
          <t>Official issuer</t>
        </is>
      </c>
      <c r="D57" t="inlineStr">
        <is>
          <t>https://www.icici.bank.in/personal-banking/cards/credit-card/expressions-card</t>
        </is>
      </c>
      <c r="E57" t="inlineStr">
        <is>
          <t>Second-pass reward/cashback research; populated only from located source material.</t>
        </is>
      </c>
    </row>
    <row r="58">
      <c r="A58" t="inlineStr">
        <is>
          <t>ICICI Bank Emeralde Private Metal Credit Card</t>
        </is>
      </c>
      <c r="B58" t="inlineStr">
        <is>
          <t>ICICI Bank</t>
        </is>
      </c>
      <c r="C58" t="inlineStr">
        <is>
          <t>Official issuer</t>
        </is>
      </c>
      <c r="D58" t="inlineStr">
        <is>
          <t>https://www.icici.bank.in/personal-banking/cards/credit-card/emeralde-private-metal-credit-card</t>
        </is>
      </c>
      <c r="E58" t="inlineStr">
        <is>
          <t>Second-pass reward/cashback research; populated only from located source material.</t>
        </is>
      </c>
    </row>
    <row r="59">
      <c r="A59" t="inlineStr">
        <is>
          <t>Emirates Skywards ICICI Bank Rubyx Credit Card</t>
        </is>
      </c>
      <c r="B59" t="inlineStr">
        <is>
          <t>ICICI Bank</t>
        </is>
      </c>
      <c r="C59" t="inlineStr">
        <is>
          <t>Official issuer</t>
        </is>
      </c>
      <c r="D59" t="inlineStr">
        <is>
          <t>https://www.icici.bank.in/personal-banking/cards/credit-card</t>
        </is>
      </c>
      <c r="E59" t="inlineStr">
        <is>
          <t>Discontinued card; earn rate recovered from issuer legacy/product material.</t>
        </is>
      </c>
    </row>
    <row r="60">
      <c r="A60" t="inlineStr">
        <is>
          <t>MakeMyTrip ICICI Bank Signature Credit Card</t>
        </is>
      </c>
      <c r="B60" t="inlineStr">
        <is>
          <t>ICICI Bank</t>
        </is>
      </c>
      <c r="C60" t="inlineStr">
        <is>
          <t>Official issuer</t>
        </is>
      </c>
      <c r="D60" t="inlineStr">
        <is>
          <t>https://www.icici.bank.in/personal-banking/cards/credit-card</t>
        </is>
      </c>
      <c r="E60" t="inlineStr">
        <is>
          <t>Discontinued legacy MakeMyTrip variant; rates recovered from issuer legacy terms.</t>
        </is>
      </c>
    </row>
    <row r="61">
      <c r="A61" t="inlineStr">
        <is>
          <t>MakeMyTrip ICICI Bank Platinum Credit Card</t>
        </is>
      </c>
      <c r="B61" t="inlineStr">
        <is>
          <t>ICICI Bank</t>
        </is>
      </c>
      <c r="C61" t="inlineStr">
        <is>
          <t>Official issuer</t>
        </is>
      </c>
      <c r="D61" t="inlineStr">
        <is>
          <t>https://www.icici.bank.in/personal-banking/cards/credit-card/makemytrip/platinum-credit-card/tnc-for-governing-mmt-platinum-credit-card</t>
        </is>
      </c>
      <c r="E61" t="inlineStr">
        <is>
          <t>Second-pass reward/cashback research; populated only from located source material.</t>
        </is>
      </c>
    </row>
    <row r="62">
      <c r="A62" t="inlineStr">
        <is>
          <t>ICICI Bank Parakram Credit Card</t>
        </is>
      </c>
      <c r="B62" t="inlineStr">
        <is>
          <t>ICICI Bank</t>
        </is>
      </c>
      <c r="C62" t="inlineStr">
        <is>
          <t>Official issuer</t>
        </is>
      </c>
      <c r="D62" t="inlineStr">
        <is>
          <t>https://www.icici.bank.in/personal-banking/cards/credit-card/parakram-cards/parakram</t>
        </is>
      </c>
      <c r="E62" t="inlineStr">
        <is>
          <t>Discontinued; issuer legacy page retained.</t>
        </is>
      </c>
    </row>
    <row r="63">
      <c r="A63" t="inlineStr">
        <is>
          <t>Axis Bank SELECT Credit Card</t>
        </is>
      </c>
      <c r="B63" t="inlineStr">
        <is>
          <t>Axis Bank</t>
        </is>
      </c>
      <c r="C63" t="inlineStr">
        <is>
          <t>Official issuer</t>
        </is>
      </c>
      <c r="D63" t="inlineStr">
        <is>
          <t>https://www.axis.bank.in/cards/credit-card/axis-bank-select-credit-card</t>
        </is>
      </c>
      <c r="E63" t="inlineStr">
        <is>
          <t>Second-pass reward/cashback research; populated only from located source material.</t>
        </is>
      </c>
    </row>
    <row r="64">
      <c r="A64" t="inlineStr">
        <is>
          <t>IndianOil Axis Bank Credit Card</t>
        </is>
      </c>
      <c r="B64" t="inlineStr">
        <is>
          <t>Axis Bank</t>
        </is>
      </c>
      <c r="C64" t="inlineStr">
        <is>
          <t>Official issuer</t>
        </is>
      </c>
      <c r="D64" t="inlineStr">
        <is>
          <t>https://www.axis.bank.in/cards/credit-card/indianoil-axis-bank-credit-card</t>
        </is>
      </c>
      <c r="E64" t="inlineStr">
        <is>
          <t>Second-pass reward/cashback research; populated only from located source material.</t>
        </is>
      </c>
    </row>
    <row r="65">
      <c r="A65" t="inlineStr">
        <is>
          <t>Airtel Axis Bank Credit Card</t>
        </is>
      </c>
      <c r="B65" t="inlineStr">
        <is>
          <t>Axis Bank</t>
        </is>
      </c>
      <c r="C65" t="inlineStr">
        <is>
          <t>Official issuer</t>
        </is>
      </c>
      <c r="D65" t="inlineStr">
        <is>
          <t>https://www.axis.bank.in/cards/credit-card/airtel-axis-bank-credit-card</t>
        </is>
      </c>
      <c r="E65" t="inlineStr">
        <is>
          <t>Current proposition checked against 2026 issuer terms; avoid older fixed-cap summaries.</t>
        </is>
      </c>
    </row>
    <row r="66">
      <c r="A66" t="inlineStr">
        <is>
          <t>Flipkart Axis Bank Credit Card</t>
        </is>
      </c>
      <c r="B66" t="inlineStr">
        <is>
          <t>Axis Bank</t>
        </is>
      </c>
      <c r="C66" t="inlineStr">
        <is>
          <t>Official issuer</t>
        </is>
      </c>
      <c r="D66" t="inlineStr">
        <is>
          <t>https://www.axis.bank.in/cards/credit-card</t>
        </is>
      </c>
      <c r="E66" t="inlineStr">
        <is>
          <t>Second-pass reward/cashback research; populated only from located source material.</t>
        </is>
      </c>
    </row>
    <row r="67">
      <c r="A67" t="inlineStr">
        <is>
          <t>Axis Bank Privilege Credit Card</t>
        </is>
      </c>
      <c r="B67" t="inlineStr">
        <is>
          <t>Axis Bank</t>
        </is>
      </c>
      <c r="C67" t="inlineStr">
        <is>
          <t>Official issuer</t>
        </is>
      </c>
      <c r="D67" t="inlineStr">
        <is>
          <t>https://www.axis.bank.in/cards/credit-card</t>
        </is>
      </c>
      <c r="E67" t="inlineStr">
        <is>
          <t>Second-pass reward/cashback research; populated only from located source material.</t>
        </is>
      </c>
    </row>
    <row r="68">
      <c r="A68" t="inlineStr">
        <is>
          <t>Axis Bank Neo Credit Card</t>
        </is>
      </c>
      <c r="B68" t="inlineStr">
        <is>
          <t>Axis Bank</t>
        </is>
      </c>
      <c r="C68" t="inlineStr">
        <is>
          <t>Official issuer</t>
        </is>
      </c>
      <c r="D68" t="inlineStr">
        <is>
          <t>https://www.axis.bank.in/cards/credit-card</t>
        </is>
      </c>
      <c r="E68" t="inlineStr">
        <is>
          <t>Second-pass reward/cashback research; populated only from located source material.</t>
        </is>
      </c>
    </row>
    <row r="69">
      <c r="A69" t="inlineStr">
        <is>
          <t>IndiGo Axis Bank Premium Credit Card</t>
        </is>
      </c>
      <c r="B69" t="inlineStr">
        <is>
          <t>Axis Bank</t>
        </is>
      </c>
      <c r="C69" t="inlineStr">
        <is>
          <t>Official issuer</t>
        </is>
      </c>
      <c r="D69" t="inlineStr">
        <is>
          <t>https://www.axis.bank.in/cards/credit-card</t>
        </is>
      </c>
      <c r="E69" t="inlineStr">
        <is>
          <t>Second-pass reward/cashback research; populated only from located source material.</t>
        </is>
      </c>
    </row>
    <row r="70">
      <c r="A70" t="inlineStr">
        <is>
          <t>Axis Bank MY ZONE Credit Card</t>
        </is>
      </c>
      <c r="B70" t="inlineStr">
        <is>
          <t>Axis Bank</t>
        </is>
      </c>
      <c r="C70" t="inlineStr">
        <is>
          <t>Official issuer</t>
        </is>
      </c>
      <c r="D70" t="inlineStr">
        <is>
          <t>https://www.axis.bank.in/cards/credit-card</t>
        </is>
      </c>
      <c r="E70" t="inlineStr">
        <is>
          <t>Second-pass reward/cashback research; populated only from located source material.</t>
        </is>
      </c>
    </row>
    <row r="71">
      <c r="A71" t="inlineStr">
        <is>
          <t>Axis Bank ACE Credit Card</t>
        </is>
      </c>
      <c r="B71" t="inlineStr">
        <is>
          <t>Axis Bank</t>
        </is>
      </c>
      <c r="C71" t="inlineStr">
        <is>
          <t>Official issuer</t>
        </is>
      </c>
      <c r="D71" t="inlineStr">
        <is>
          <t>https://www.axis.bank.in/cards/credit-card/axis-bank-ace-credit-card</t>
        </is>
      </c>
      <c r="E71" t="inlineStr">
        <is>
          <t>Second-pass reward/cashback research; populated only from located source material.</t>
        </is>
      </c>
    </row>
    <row r="72">
      <c r="A72" t="inlineStr">
        <is>
          <t>Axis Bank Rewards Credit Card</t>
        </is>
      </c>
      <c r="B72" t="inlineStr">
        <is>
          <t>Axis Bank</t>
        </is>
      </c>
      <c r="C72" t="inlineStr">
        <is>
          <t>Official issuer</t>
        </is>
      </c>
      <c r="D72" t="inlineStr">
        <is>
          <t>https://www.axis.bank.in/cards/credit-card/rewards-credit-card</t>
        </is>
      </c>
      <c r="E72" t="inlineStr">
        <is>
          <t>Second-pass reward/cashback research; populated only from located source material.</t>
        </is>
      </c>
    </row>
    <row r="73">
      <c r="A73" t="inlineStr">
        <is>
          <t>Google Pay Flex Axis Bank Credit Card</t>
        </is>
      </c>
      <c r="B73" t="inlineStr">
        <is>
          <t>Axis Bank</t>
        </is>
      </c>
      <c r="C73" t="inlineStr">
        <is>
          <t>Official issuer</t>
        </is>
      </c>
      <c r="D73" t="inlineStr">
        <is>
          <t>https://www.axis.bank.in/cards/credit-card</t>
        </is>
      </c>
      <c r="E73" t="inlineStr">
        <is>
          <t>Second-pass reward/cashback research; populated only from located source material.</t>
        </is>
      </c>
    </row>
    <row r="74">
      <c r="A74" t="inlineStr">
        <is>
          <t>Axis Bank HORIZON Credit Card</t>
        </is>
      </c>
      <c r="B74" t="inlineStr">
        <is>
          <t>Axis Bank</t>
        </is>
      </c>
      <c r="C74" t="inlineStr">
        <is>
          <t>Official issuer</t>
        </is>
      </c>
      <c r="D74" t="inlineStr">
        <is>
          <t>https://www.axis.bank.in/cards/credit-card</t>
        </is>
      </c>
      <c r="E74" t="inlineStr">
        <is>
          <t>Second-pass reward/cashback research; populated only from located source material.</t>
        </is>
      </c>
    </row>
    <row r="75">
      <c r="A75" t="inlineStr">
        <is>
          <t>Axis Bank Magnus Credit Card</t>
        </is>
      </c>
      <c r="B75" t="inlineStr">
        <is>
          <t>Axis Bank</t>
        </is>
      </c>
      <c r="C75" t="inlineStr">
        <is>
          <t>Official issuer</t>
        </is>
      </c>
      <c r="D75" t="inlineStr">
        <is>
          <t>https://www.axis.bank.in/cards/credit-card</t>
        </is>
      </c>
      <c r="E75" t="inlineStr">
        <is>
          <t>Second-pass reward/cashback research; populated only from located source material.</t>
        </is>
      </c>
    </row>
    <row r="76">
      <c r="A76" t="inlineStr">
        <is>
          <t>Axis Bank Reserve Credit Card</t>
        </is>
      </c>
      <c r="B76" t="inlineStr">
        <is>
          <t>Axis Bank</t>
        </is>
      </c>
      <c r="C76" t="inlineStr">
        <is>
          <t>Official issuer</t>
        </is>
      </c>
      <c r="D76" t="inlineStr">
        <is>
          <t>https://www.axis.bank.in/cards/credit-card</t>
        </is>
      </c>
      <c r="E76" t="inlineStr">
        <is>
          <t>Second-pass reward/cashback research; populated only from located source material.</t>
        </is>
      </c>
    </row>
    <row r="77">
      <c r="A77" t="inlineStr">
        <is>
          <t>Axis Bank MY ZONE Easy Credit Card</t>
        </is>
      </c>
      <c r="B77" t="inlineStr">
        <is>
          <t>Axis Bank</t>
        </is>
      </c>
      <c r="C77" t="inlineStr">
        <is>
          <t>Official issuer</t>
        </is>
      </c>
      <c r="D77" t="inlineStr">
        <is>
          <t>https://www.axis.bank.in/cards/credit-card</t>
        </is>
      </c>
      <c r="E77" t="inlineStr">
        <is>
          <t>Second-pass reward/cashback research; populated only from located source material.</t>
        </is>
      </c>
    </row>
    <row r="78">
      <c r="A78" t="inlineStr">
        <is>
          <t>IndianOil Axis Bank Easy Credit Card</t>
        </is>
      </c>
      <c r="B78" t="inlineStr">
        <is>
          <t>Axis Bank</t>
        </is>
      </c>
      <c r="C78" t="inlineStr">
        <is>
          <t>Credible secondary</t>
        </is>
      </c>
      <c r="D78" t="inlineStr">
        <is>
          <t>https://coffer.gold/cards/indianoil-easy-axis-bank-credit-card</t>
        </is>
      </c>
      <c r="E78" t="inlineStr">
        <is>
          <t>Exact legacy Axis product page was not reliably surfaced; rate cross-checked against card databases and Axis programme references.</t>
        </is>
      </c>
    </row>
    <row r="79">
      <c r="A79" t="inlineStr">
        <is>
          <t>Axis Bank Privilege Easy Credit Card</t>
        </is>
      </c>
      <c r="B79" t="inlineStr">
        <is>
          <t>Axis Bank</t>
        </is>
      </c>
      <c r="C79" t="inlineStr">
        <is>
          <t>Credible secondary</t>
        </is>
      </c>
      <c r="D79" t="inlineStr">
        <is>
          <t>https://www.paisabazaar.com/axis-bank/privilege-easy-credit-card/</t>
        </is>
      </c>
      <c r="E79" t="inlineStr">
        <is>
          <t>Legacy product; issuer page was not readily accessible in current catalogue.</t>
        </is>
      </c>
    </row>
    <row r="80">
      <c r="A80" t="inlineStr">
        <is>
          <t>Axis Bank Atlas Credit Card</t>
        </is>
      </c>
      <c r="B80" t="inlineStr">
        <is>
          <t>Axis Bank</t>
        </is>
      </c>
      <c r="C80" t="inlineStr">
        <is>
          <t>Official issuer</t>
        </is>
      </c>
      <c r="D80" t="inlineStr">
        <is>
          <t>https://www.axis.bank.in/cards/credit-card</t>
        </is>
      </c>
      <c r="E80" t="inlineStr">
        <is>
          <t>Second-pass reward/cashback research; populated only from located source material.</t>
        </is>
      </c>
    </row>
    <row r="81">
      <c r="A81" t="inlineStr">
        <is>
          <t>Axis Bank AURA Credit Card</t>
        </is>
      </c>
      <c r="B81" t="inlineStr">
        <is>
          <t>Axis Bank</t>
        </is>
      </c>
      <c r="C81" t="inlineStr">
        <is>
          <t>Official issuer</t>
        </is>
      </c>
      <c r="D81" t="inlineStr">
        <is>
          <t>https://www.axis.bank.in/cards/credit-card/axis-bank-aura-credit-card</t>
        </is>
      </c>
      <c r="E81" t="inlineStr">
        <is>
          <t>Second-pass reward/cashback research; populated only from located source material.</t>
        </is>
      </c>
    </row>
    <row r="82">
      <c r="A82" t="inlineStr">
        <is>
          <t>IndianOil Axis Bank Premium Credit Card</t>
        </is>
      </c>
      <c r="B82" t="inlineStr">
        <is>
          <t>Axis Bank</t>
        </is>
      </c>
      <c r="C82" t="inlineStr">
        <is>
          <t>Official issuer</t>
        </is>
      </c>
      <c r="D82" t="inlineStr">
        <is>
          <t>https://www.axis.bank.in/cards/credit-card</t>
        </is>
      </c>
      <c r="E82" t="inlineStr">
        <is>
          <t>Second-pass reward/cashback research; populated only from located source material.</t>
        </is>
      </c>
    </row>
    <row r="83">
      <c r="A83" t="inlineStr">
        <is>
          <t>Axis Bank Pride Platinum Credit Card</t>
        </is>
      </c>
      <c r="B83" t="inlineStr">
        <is>
          <t>Axis Bank</t>
        </is>
      </c>
      <c r="C83" t="inlineStr">
        <is>
          <t>Official issuer</t>
        </is>
      </c>
      <c r="D83" t="inlineStr">
        <is>
          <t>https://www.axis.bank.in/cards/credit-card</t>
        </is>
      </c>
      <c r="E83" t="inlineStr">
        <is>
          <t>Second-pass reward/cashback research; populated only from located source material.</t>
        </is>
      </c>
    </row>
    <row r="84">
      <c r="A84" t="inlineStr">
        <is>
          <t>Axis Bank Pride Signature Credit Card</t>
        </is>
      </c>
      <c r="B84" t="inlineStr">
        <is>
          <t>Axis Bank</t>
        </is>
      </c>
      <c r="C84" t="inlineStr">
        <is>
          <t>Official issuer</t>
        </is>
      </c>
      <c r="D84" t="inlineStr">
        <is>
          <t>https://www.axis.bank.in/cards/credit-card</t>
        </is>
      </c>
      <c r="E84" t="inlineStr">
        <is>
          <t>Second-pass reward/cashback research; populated only from located source material.</t>
        </is>
      </c>
    </row>
    <row r="85">
      <c r="A85" t="inlineStr">
        <is>
          <t>SpiceJet Axis Bank Voyage Black Credit Card</t>
        </is>
      </c>
      <c r="B85" t="inlineStr">
        <is>
          <t>Axis Bank</t>
        </is>
      </c>
      <c r="C85" t="inlineStr">
        <is>
          <t>Official issuer</t>
        </is>
      </c>
      <c r="D85" t="inlineStr">
        <is>
          <t>https://www.axis.bank.in/cards/credit-card/spicejet-axis-bank-voyage-black-credit-card</t>
        </is>
      </c>
      <c r="E85" t="inlineStr">
        <is>
          <t>Second-pass reward/cashback research; populated only from located source material.</t>
        </is>
      </c>
    </row>
    <row r="86">
      <c r="A86" t="inlineStr">
        <is>
          <t>Fibe Axis Bank Credit Card</t>
        </is>
      </c>
      <c r="B86" t="inlineStr">
        <is>
          <t>Axis Bank</t>
        </is>
      </c>
      <c r="C86" t="inlineStr">
        <is>
          <t>Official issuer</t>
        </is>
      </c>
      <c r="D86" t="inlineStr">
        <is>
          <t>https://www.axis.bank.in/cards/credit-card</t>
        </is>
      </c>
      <c r="E86" t="inlineStr">
        <is>
          <t>Second-pass reward/cashback research; populated only from located source material.</t>
        </is>
      </c>
    </row>
    <row r="87">
      <c r="A87" t="inlineStr">
        <is>
          <t>Shoppers Stop Axis Bank Credit Card</t>
        </is>
      </c>
      <c r="B87" t="inlineStr">
        <is>
          <t>Axis Bank</t>
        </is>
      </c>
      <c r="C87" t="inlineStr">
        <is>
          <t>Official issuer</t>
        </is>
      </c>
      <c r="D87" t="inlineStr">
        <is>
          <t>https://www.axis.bank.in/cards/credit-card</t>
        </is>
      </c>
      <c r="E87" t="inlineStr">
        <is>
          <t>Second-pass reward/cashback research; populated only from located source material.</t>
        </is>
      </c>
    </row>
    <row r="88">
      <c r="A88" t="inlineStr">
        <is>
          <t>SpiceJet Axis Bank Voyage Credit Card</t>
        </is>
      </c>
      <c r="B88" t="inlineStr">
        <is>
          <t>Axis Bank</t>
        </is>
      </c>
      <c r="C88" t="inlineStr">
        <is>
          <t>Official issuer</t>
        </is>
      </c>
      <c r="D88" t="inlineStr">
        <is>
          <t>https://www.axis.bank.in/cards/credit-card/spicejet-axis-bank-voyage-credit-card</t>
        </is>
      </c>
      <c r="E88" t="inlineStr">
        <is>
          <t>Second-pass reward/cashback research; populated only from located source material.</t>
        </is>
      </c>
    </row>
    <row r="89">
      <c r="A89" t="inlineStr">
        <is>
          <t>Samsung Axis Bank Signature Credit Card</t>
        </is>
      </c>
      <c r="B89" t="inlineStr">
        <is>
          <t>Axis Bank</t>
        </is>
      </c>
      <c r="C89" t="inlineStr">
        <is>
          <t>Official issuer</t>
        </is>
      </c>
      <c r="D89" t="inlineStr">
        <is>
          <t>https://www.axis.bank.in/cards/credit-card</t>
        </is>
      </c>
      <c r="E89" t="inlineStr">
        <is>
          <t>Second-pass reward/cashback research; populated only from located source material.</t>
        </is>
      </c>
    </row>
    <row r="90">
      <c r="A90" t="inlineStr">
        <is>
          <t>Miles &amp; More Axis Bank Credit Card</t>
        </is>
      </c>
      <c r="B90" t="inlineStr">
        <is>
          <t>Axis Bank</t>
        </is>
      </c>
      <c r="C90" t="inlineStr">
        <is>
          <t>Official issuer</t>
        </is>
      </c>
      <c r="D90" t="inlineStr">
        <is>
          <t>https://www.axis.bank.in/cards/credit-card/miles-more-credit-card</t>
        </is>
      </c>
      <c r="E90" t="inlineStr">
        <is>
          <t>Catalogue name spans World Select and World variants; rates are network/product-variant dependent.</t>
        </is>
      </c>
    </row>
    <row r="91">
      <c r="A91" t="inlineStr">
        <is>
          <t>LIC Axis Bank Signature Credit Card</t>
        </is>
      </c>
      <c r="B91" t="inlineStr">
        <is>
          <t>Axis Bank</t>
        </is>
      </c>
      <c r="C91" t="inlineStr">
        <is>
          <t>Official issuer</t>
        </is>
      </c>
      <c r="D91" t="inlineStr">
        <is>
          <t>https://www.axis.bank.in/cards/credit-card/lic-axis-bank-signature-credit-card</t>
        </is>
      </c>
      <c r="E91" t="inlineStr">
        <is>
          <t>Second-pass reward/cashback research; populated only from located source material.</t>
        </is>
      </c>
    </row>
    <row r="92">
      <c r="A92" t="inlineStr">
        <is>
          <t>LIC Axis Bank Platinum Credit Card</t>
        </is>
      </c>
      <c r="B92" t="inlineStr">
        <is>
          <t>Axis Bank</t>
        </is>
      </c>
      <c r="C92" t="inlineStr">
        <is>
          <t>Official issuer</t>
        </is>
      </c>
      <c r="D92" t="inlineStr">
        <is>
          <t>https://www.axis.bank.in/cards/credit-card</t>
        </is>
      </c>
      <c r="E92" t="inlineStr">
        <is>
          <t>Second-pass reward/cashback research; populated only from located source material.</t>
        </is>
      </c>
    </row>
    <row r="93">
      <c r="A93" t="inlineStr">
        <is>
          <t>Flipkart Axis Bank Super Elite Credit Card</t>
        </is>
      </c>
      <c r="B93" t="inlineStr">
        <is>
          <t>Axis Bank</t>
        </is>
      </c>
      <c r="C93" t="inlineStr">
        <is>
          <t>Official issuer</t>
        </is>
      </c>
      <c r="D93" t="inlineStr">
        <is>
          <t>https://www.axis.bank.in/cards/credit-card/flipkart-axis-bank-super-elite-credit-card</t>
        </is>
      </c>
      <c r="E93" t="inlineStr">
        <is>
          <t>Discontinued for new applications; legacy Axis product page remains live.</t>
        </is>
      </c>
    </row>
    <row r="94">
      <c r="A94" t="inlineStr">
        <is>
          <t>Samsung Axis Bank Infinite Credit Card</t>
        </is>
      </c>
      <c r="B94" t="inlineStr">
        <is>
          <t>Axis Bank</t>
        </is>
      </c>
      <c r="C94" t="inlineStr">
        <is>
          <t>Official issuer</t>
        </is>
      </c>
      <c r="D94" t="inlineStr">
        <is>
          <t>https://www.axis.bank.in/cards/credit-card/samsung-axis-bank-infinite-credit-card</t>
        </is>
      </c>
      <c r="E94" t="inlineStr">
        <is>
          <t>No longer accepting applications; issuer legacy page remains live.</t>
        </is>
      </c>
    </row>
    <row r="95">
      <c r="A95" t="inlineStr">
        <is>
          <t>Freecharge Axis Bank Credit Card</t>
        </is>
      </c>
      <c r="B95" t="inlineStr">
        <is>
          <t>Axis Bank</t>
        </is>
      </c>
      <c r="C95" t="inlineStr">
        <is>
          <t>Official issuer</t>
        </is>
      </c>
      <c r="D95" t="inlineStr">
        <is>
          <t>https://www.axis.bank.in/cards/credit-card/axis-bank-freecharge-credit-card</t>
        </is>
      </c>
      <c r="E95" t="inlineStr">
        <is>
          <t>Legacy card page does not clearly expose the spend denominator beside the base 1-point statement; milestone schedule is explicit.</t>
        </is>
      </c>
    </row>
    <row r="96">
      <c r="A96" t="inlineStr">
        <is>
          <t>Freecharge Plus Axis Bank Credit Card</t>
        </is>
      </c>
      <c r="B96" t="inlineStr">
        <is>
          <t>Axis Bank</t>
        </is>
      </c>
      <c r="C96" t="inlineStr">
        <is>
          <t>Official issuer</t>
        </is>
      </c>
      <c r="D96" t="inlineStr">
        <is>
          <t>https://www.axis.bank.in/cards/credit-card/axis-bank-freecharge-plus-credit-card</t>
        </is>
      </c>
      <c r="E96" t="inlineStr">
        <is>
          <t>Second-pass reward/cashback research; populated only from located source material.</t>
        </is>
      </c>
    </row>
    <row r="97">
      <c r="A97" t="inlineStr">
        <is>
          <t>Vistara Axis Bank Signature Credit Card</t>
        </is>
      </c>
      <c r="B97" t="inlineStr">
        <is>
          <t>Axis Bank</t>
        </is>
      </c>
      <c r="C97" t="inlineStr">
        <is>
          <t>Official issuer</t>
        </is>
      </c>
      <c r="D97" t="inlineStr">
        <is>
          <t>https://www.axis.bank.in/cards/credit-card</t>
        </is>
      </c>
      <c r="E97" t="inlineStr">
        <is>
          <t>Legacy Vistara co-brand; issuer has announced discontinuation of spends after 31 October 2026, but this rate is current as of 9 September 2026.</t>
        </is>
      </c>
    </row>
    <row r="98">
      <c r="A98" t="inlineStr">
        <is>
          <t>Vistara Axis Bank Credit Card</t>
        </is>
      </c>
      <c r="B98" t="inlineStr">
        <is>
          <t>Axis Bank</t>
        </is>
      </c>
      <c r="C98" t="inlineStr">
        <is>
          <t>Official issuer</t>
        </is>
      </c>
      <c r="D98" t="inlineStr">
        <is>
          <t>https://www.axis.bank.in/cards/credit-card/axis-bank-vistara-credit-card</t>
        </is>
      </c>
      <c r="E98" t="inlineStr">
        <is>
          <t>Current as of 9 September 2026; issuer page states spends will be discontinued after 31 October 2026.</t>
        </is>
      </c>
    </row>
    <row r="99">
      <c r="A99" t="inlineStr">
        <is>
          <t>Vistara Axis Bank Infinite Credit Card</t>
        </is>
      </c>
      <c r="B99" t="inlineStr">
        <is>
          <t>Axis Bank</t>
        </is>
      </c>
      <c r="C99" t="inlineStr">
        <is>
          <t>Official issuer</t>
        </is>
      </c>
      <c r="D99" t="inlineStr">
        <is>
          <t>https://www.axis.bank.in/cards/credit-card</t>
        </is>
      </c>
      <c r="E99" t="inlineStr">
        <is>
          <t>Legacy Vistara co-brand; current as of 9 September 2026.</t>
        </is>
      </c>
    </row>
    <row r="100">
      <c r="A100" t="inlineStr">
        <is>
          <t>Kwik Axis Bank Credit Card</t>
        </is>
      </c>
      <c r="B100" t="inlineStr">
        <is>
          <t>Axis Bank</t>
        </is>
      </c>
      <c r="C100" t="inlineStr">
        <is>
          <t>Official issuer</t>
        </is>
      </c>
      <c r="D100" t="inlineStr">
        <is>
          <t>https://www.axis.bank.in/cards/credit-card/axis-bank-kwik-credit-card</t>
        </is>
      </c>
      <c r="E100" t="inlineStr">
        <is>
          <t>Second-pass reward/cashback research; populated only from located source material.</t>
        </is>
      </c>
    </row>
    <row r="101">
      <c r="A101" t="inlineStr">
        <is>
          <t>Apollo SBI Card SELECT</t>
        </is>
      </c>
      <c r="B101" t="inlineStr">
        <is>
          <t>SBI Card</t>
        </is>
      </c>
      <c r="C101" t="inlineStr">
        <is>
          <t>Official issuer</t>
        </is>
      </c>
      <c r="D101" t="inlineStr">
        <is>
          <t>https://www.sbicard.com/en/personal/sbi-credit-card.page</t>
        </is>
      </c>
      <c r="E101" t="inlineStr">
        <is>
          <t>Second-pass reward/cashback research; populated only from located source material.</t>
        </is>
      </c>
    </row>
    <row r="102">
      <c r="A102" t="inlineStr">
        <is>
          <t>KrisFlyer SBI Card</t>
        </is>
      </c>
      <c r="B102" t="inlineStr">
        <is>
          <t>SBI Card</t>
        </is>
      </c>
      <c r="C102" t="inlineStr">
        <is>
          <t>Official issuer</t>
        </is>
      </c>
      <c r="D102" t="inlineStr">
        <is>
          <t>https://www.sbicard.com/en/personal/sbi-credit-card.page</t>
        </is>
      </c>
      <c r="E102" t="inlineStr">
        <is>
          <t>Second-pass reward/cashback research; populated only from located source material.</t>
        </is>
      </c>
    </row>
    <row r="103">
      <c r="A103" t="inlineStr">
        <is>
          <t>KrisFlyer SBI Card Apex</t>
        </is>
      </c>
      <c r="B103" t="inlineStr">
        <is>
          <t>SBI Card</t>
        </is>
      </c>
      <c r="C103" t="inlineStr">
        <is>
          <t>Official issuer</t>
        </is>
      </c>
      <c r="D103" t="inlineStr">
        <is>
          <t>https://www.sbicard.com/en/personal/sbi-credit-card.page</t>
        </is>
      </c>
      <c r="E103" t="inlineStr">
        <is>
          <t>Second-pass reward/cashback research; populated only from located source material.</t>
        </is>
      </c>
    </row>
    <row r="104">
      <c r="A104" t="inlineStr">
        <is>
          <t>SBI Card MILES PRIME</t>
        </is>
      </c>
      <c r="B104" t="inlineStr">
        <is>
          <t>SBI Card</t>
        </is>
      </c>
      <c r="C104" t="inlineStr">
        <is>
          <t>Official issuer</t>
        </is>
      </c>
      <c r="D104" t="inlineStr">
        <is>
          <t>https://www.sbicard.com/en/personal/sbi-credit-card.page</t>
        </is>
      </c>
      <c r="E104" t="inlineStr">
        <is>
          <t>Second-pass reward/cashback research; populated only from located source material.</t>
        </is>
      </c>
    </row>
    <row r="105">
      <c r="A105" t="inlineStr">
        <is>
          <t>SBI Card MILES</t>
        </is>
      </c>
      <c r="B105" t="inlineStr">
        <is>
          <t>SBI Card</t>
        </is>
      </c>
      <c r="C105" t="inlineStr">
        <is>
          <t>Official issuer</t>
        </is>
      </c>
      <c r="D105" t="inlineStr">
        <is>
          <t>https://www.sbicard.com/en/personal/sbi-credit-card.page</t>
        </is>
      </c>
      <c r="E105" t="inlineStr">
        <is>
          <t>Second-pass reward/cashback research; populated only from located source material.</t>
        </is>
      </c>
    </row>
    <row r="106">
      <c r="A106" t="inlineStr">
        <is>
          <t>Titan SBI Card</t>
        </is>
      </c>
      <c r="B106" t="inlineStr">
        <is>
          <t>SBI Card</t>
        </is>
      </c>
      <c r="C106" t="inlineStr">
        <is>
          <t>Official issuer</t>
        </is>
      </c>
      <c r="D106" t="inlineStr">
        <is>
          <t>https://www.sbicard.com/en/personal/sbi-credit-card.page</t>
        </is>
      </c>
      <c r="E106" t="inlineStr">
        <is>
          <t>Second-pass reward/cashback research; populated only from located source material.</t>
        </is>
      </c>
    </row>
    <row r="107">
      <c r="A107" t="inlineStr">
        <is>
          <t>Reliance SBI Card</t>
        </is>
      </c>
      <c r="B107" t="inlineStr">
        <is>
          <t>SBI Card</t>
        </is>
      </c>
      <c r="C107" t="inlineStr">
        <is>
          <t>Official issuer</t>
        </is>
      </c>
      <c r="D107" t="inlineStr">
        <is>
          <t>https://www.sbicard.com/sbi-card-en/assets/docs/pdf/tnc/reliance-sbi-card-tnc.pdf</t>
        </is>
      </c>
      <c r="E107" t="inlineStr">
        <is>
          <t>Second-pass reward/cashback research; populated only from located source material.</t>
        </is>
      </c>
    </row>
    <row r="108">
      <c r="A108" t="inlineStr">
        <is>
          <t>Reliance SBI Card PRIME</t>
        </is>
      </c>
      <c r="B108" t="inlineStr">
        <is>
          <t>SBI Card</t>
        </is>
      </c>
      <c r="C108" t="inlineStr">
        <is>
          <t>Official issuer</t>
        </is>
      </c>
      <c r="D108" t="inlineStr">
        <is>
          <t>https://www.sbicard.com/en/personal/sbi-credit-card.page</t>
        </is>
      </c>
      <c r="E108" t="inlineStr">
        <is>
          <t>Second-pass reward/cashback research; populated only from located source material.</t>
        </is>
      </c>
    </row>
    <row r="109">
      <c r="A109" t="inlineStr">
        <is>
          <t>BPCL SBI Card</t>
        </is>
      </c>
      <c r="B109" t="inlineStr">
        <is>
          <t>SBI Card</t>
        </is>
      </c>
      <c r="C109" t="inlineStr">
        <is>
          <t>Official issuer</t>
        </is>
      </c>
      <c r="D109" t="inlineStr">
        <is>
          <t>https://www.sbicard.com/en/personal/sbi-credit-card.page</t>
        </is>
      </c>
      <c r="E109" t="inlineStr">
        <is>
          <t>Second-pass reward/cashback research; populated only from located source material.</t>
        </is>
      </c>
    </row>
    <row r="110">
      <c r="A110" t="inlineStr">
        <is>
          <t>BPCL SBI Card OCTANE</t>
        </is>
      </c>
      <c r="B110" t="inlineStr">
        <is>
          <t>SBI Card</t>
        </is>
      </c>
      <c r="C110" t="inlineStr">
        <is>
          <t>Official issuer</t>
        </is>
      </c>
      <c r="D110" t="inlineStr">
        <is>
          <t>https://www.sbicard.com/en/personal/sbi-credit-card.page</t>
        </is>
      </c>
      <c r="E110" t="inlineStr">
        <is>
          <t>Second-pass reward/cashback research; populated only from located source material.</t>
        </is>
      </c>
    </row>
    <row r="111">
      <c r="A111" t="inlineStr">
        <is>
          <t>SBI Card ELITE</t>
        </is>
      </c>
      <c r="B111" t="inlineStr">
        <is>
          <t>SBI Card</t>
        </is>
      </c>
      <c r="C111" t="inlineStr">
        <is>
          <t>Official issuer</t>
        </is>
      </c>
      <c r="D111" t="inlineStr">
        <is>
          <t>https://www.sbicard.com/en/personal/sbi-credit-card.page</t>
        </is>
      </c>
      <c r="E111" t="inlineStr">
        <is>
          <t>Second-pass reward/cashback research; populated only from located source material.</t>
        </is>
      </c>
    </row>
    <row r="112">
      <c r="A112" t="inlineStr">
        <is>
          <t>SimplySAVE SBI Card</t>
        </is>
      </c>
      <c r="B112" t="inlineStr">
        <is>
          <t>SBI Card</t>
        </is>
      </c>
      <c r="C112" t="inlineStr">
        <is>
          <t>Official issuer</t>
        </is>
      </c>
      <c r="D112" t="inlineStr">
        <is>
          <t>https://www.sbicard.com/en/personal/sbi-credit-card.page</t>
        </is>
      </c>
      <c r="E112" t="inlineStr">
        <is>
          <t>Second-pass reward/cashback research; populated only from located source material.</t>
        </is>
      </c>
    </row>
    <row r="113">
      <c r="A113" t="inlineStr">
        <is>
          <t>IRCTC SBI Card Premier</t>
        </is>
      </c>
      <c r="B113" t="inlineStr">
        <is>
          <t>SBI Card</t>
        </is>
      </c>
      <c r="C113" t="inlineStr">
        <is>
          <t>Official issuer</t>
        </is>
      </c>
      <c r="D113" t="inlineStr">
        <is>
          <t>https://www.sbicard.com/en/personal/sbi-credit-card.page</t>
        </is>
      </c>
      <c r="E113" t="inlineStr">
        <is>
          <t>Second-pass reward/cashback research; populated only from located source material.</t>
        </is>
      </c>
    </row>
    <row r="114">
      <c r="A114" t="inlineStr">
        <is>
          <t>IRCTC SBI Platinum Card</t>
        </is>
      </c>
      <c r="B114" t="inlineStr">
        <is>
          <t>SBI Card</t>
        </is>
      </c>
      <c r="C114" t="inlineStr">
        <is>
          <t>Official issuer</t>
        </is>
      </c>
      <c r="D114" t="inlineStr">
        <is>
          <t>https://www.sbicard.com/en/personal/sbi-credit-card.page</t>
        </is>
      </c>
      <c r="E114" t="inlineStr">
        <is>
          <t>Second-pass reward/cashback research; populated only from located source material.</t>
        </is>
      </c>
    </row>
    <row r="115">
      <c r="A115" t="inlineStr">
        <is>
          <t>Landmark Rewards SBI Card</t>
        </is>
      </c>
      <c r="B115" t="inlineStr">
        <is>
          <t>SBI Card</t>
        </is>
      </c>
      <c r="C115" t="inlineStr">
        <is>
          <t>Official issuer</t>
        </is>
      </c>
      <c r="D115" t="inlineStr">
        <is>
          <t>https://www.sbicard.com/en/personal/sbi-credit-card.page</t>
        </is>
      </c>
      <c r="E115" t="inlineStr">
        <is>
          <t>Second-pass reward/cashback research; populated only from located source material.</t>
        </is>
      </c>
    </row>
    <row r="116">
      <c r="A116" t="inlineStr">
        <is>
          <t>Landmark Rewards SBI Card SELECT</t>
        </is>
      </c>
      <c r="B116" t="inlineStr">
        <is>
          <t>SBI Card</t>
        </is>
      </c>
      <c r="C116" t="inlineStr">
        <is>
          <t>Official issuer</t>
        </is>
      </c>
      <c r="D116" t="inlineStr">
        <is>
          <t>https://www.sbicard.com/en/personal/sbi-credit-card.page</t>
        </is>
      </c>
      <c r="E116" t="inlineStr">
        <is>
          <t>Second-pass reward/cashback research; populated only from located source material.</t>
        </is>
      </c>
    </row>
    <row r="117">
      <c r="A117" t="inlineStr">
        <is>
          <t>Landmark Rewards SBI Card PRIME</t>
        </is>
      </c>
      <c r="B117" t="inlineStr">
        <is>
          <t>SBI Card</t>
        </is>
      </c>
      <c r="C117" t="inlineStr">
        <is>
          <t>Official issuer</t>
        </is>
      </c>
      <c r="D117" t="inlineStr">
        <is>
          <t>https://www.sbicard.com/en/personal/sbi-credit-card.page</t>
        </is>
      </c>
      <c r="E117" t="inlineStr">
        <is>
          <t>Second-pass reward/cashback research; populated only from located source material.</t>
        </is>
      </c>
    </row>
    <row r="118">
      <c r="A118" t="inlineStr">
        <is>
          <t>Kotak PVR INOX Credit Card</t>
        </is>
      </c>
      <c r="B118" t="inlineStr">
        <is>
          <t>Kotak Mahindra Bank</t>
        </is>
      </c>
      <c r="C118" t="inlineStr">
        <is>
          <t>Official issuer</t>
        </is>
      </c>
      <c r="D118" t="inlineStr">
        <is>
          <t>https://www.kotak.bank.in/en/personal-banking/cards/credit-cards/pvr-inox-kotak-credit-card.html</t>
        </is>
      </c>
      <c r="E118" t="inlineStr">
        <is>
          <t>Second-pass reward/cashback research; populated only from located source material.</t>
        </is>
      </c>
    </row>
    <row r="119">
      <c r="A119" t="inlineStr">
        <is>
          <t>Kotak White Credit Card</t>
        </is>
      </c>
      <c r="B119" t="inlineStr">
        <is>
          <t>Kotak Mahindra Bank</t>
        </is>
      </c>
      <c r="C119" t="inlineStr">
        <is>
          <t>Official issuer</t>
        </is>
      </c>
      <c r="D119" t="inlineStr">
        <is>
          <t>https://www.kotak.bank.in/en/personal-banking/cards/credit-cards.html</t>
        </is>
      </c>
      <c r="E119" t="inlineStr">
        <is>
          <t>Second-pass reward/cashback research; populated only from located source material.</t>
        </is>
      </c>
    </row>
    <row r="120">
      <c r="A120" t="inlineStr">
        <is>
          <t>Kotak PVR INOX Platinum Credit Card</t>
        </is>
      </c>
      <c r="B120" t="inlineStr">
        <is>
          <t>Kotak Mahindra Bank</t>
        </is>
      </c>
      <c r="C120" t="inlineStr">
        <is>
          <t>Official issuer</t>
        </is>
      </c>
      <c r="D120" t="inlineStr">
        <is>
          <t>https://www.kotak.bank.in/en/personal-banking/cards/credit-cards.html</t>
        </is>
      </c>
      <c r="E120" t="inlineStr">
        <is>
          <t>Second-pass reward/cashback research; populated only from located source material.</t>
        </is>
      </c>
    </row>
    <row r="121">
      <c r="A121" t="inlineStr">
        <is>
          <t>Kotak PVR INOX Gold Credit Card</t>
        </is>
      </c>
      <c r="B121" t="inlineStr">
        <is>
          <t>Kotak Mahindra Bank</t>
        </is>
      </c>
      <c r="C121" t="inlineStr">
        <is>
          <t>Official issuer</t>
        </is>
      </c>
      <c r="D121" t="inlineStr">
        <is>
          <t>https://www.kotak.bank.in/en/personal-banking/cards/credit-cards.html</t>
        </is>
      </c>
      <c r="E121" t="inlineStr">
        <is>
          <t>Second-pass reward/cashback research; populated only from located source material.</t>
        </is>
      </c>
    </row>
    <row r="122">
      <c r="A122" t="inlineStr">
        <is>
          <t>Kotak White Reserve Credit Card</t>
        </is>
      </c>
      <c r="B122" t="inlineStr">
        <is>
          <t>Kotak Mahindra Bank</t>
        </is>
      </c>
      <c r="C122" t="inlineStr">
        <is>
          <t>Official issuer</t>
        </is>
      </c>
      <c r="D122" t="inlineStr">
        <is>
          <t>https://www.kotak.bank.in/en/personal-banking/cards/credit-cards.html</t>
        </is>
      </c>
      <c r="E122" t="inlineStr">
        <is>
          <t>Second-pass reward/cashback research; populated only from located source material.</t>
        </is>
      </c>
    </row>
    <row r="123">
      <c r="A123" t="inlineStr">
        <is>
          <t>Kotak Infinite Credit Card</t>
        </is>
      </c>
      <c r="B123" t="inlineStr">
        <is>
          <t>Kotak Mahindra Bank</t>
        </is>
      </c>
      <c r="C123" t="inlineStr">
        <is>
          <t>Official issuer</t>
        </is>
      </c>
      <c r="D123" t="inlineStr">
        <is>
          <t>https://www.kotak.bank.in/en/personal-banking/cards/credit-cards/wealth-management-infinite-credit-card/features.html</t>
        </is>
      </c>
      <c r="E123" t="inlineStr">
        <is>
          <t>Live issuer page confirms monthly 800-point benefit but does not clearly state a general base earn rate.</t>
        </is>
      </c>
    </row>
    <row r="124">
      <c r="A124" t="inlineStr">
        <is>
          <t>FIRST WOW! Credit Card</t>
        </is>
      </c>
      <c r="B124" t="inlineStr">
        <is>
          <t>IDFC FIRST Bank</t>
        </is>
      </c>
      <c r="C124" t="inlineStr">
        <is>
          <t>Official issuer</t>
        </is>
      </c>
      <c r="D124" t="inlineStr">
        <is>
          <t>https://www.idfcfirstbank.com/credit-card</t>
        </is>
      </c>
      <c r="E124" t="inlineStr">
        <is>
          <t>Numeric base denominator not stated on the surfaced current issuer material; retained as issuer wording rather than inferred.</t>
        </is>
      </c>
    </row>
    <row r="125">
      <c r="A125" t="inlineStr">
        <is>
          <t>IDFC FIRST Digital RuPay Credit Card</t>
        </is>
      </c>
      <c r="B125" t="inlineStr">
        <is>
          <t>IDFC FIRST Bank</t>
        </is>
      </c>
      <c r="C125" t="inlineStr">
        <is>
          <t>Official issuer</t>
        </is>
      </c>
      <c r="D125" t="inlineStr">
        <is>
          <t>https://www.idfcfirstbank.com/content/dam/idfcfirstbank/pdf/news-media/press-release/IDFCFIRSTBank-Revolutionizes-Transactions-with-the-Launch.pdf</t>
        </is>
      </c>
      <c r="E125" t="inlineStr">
        <is>
          <t>Second-pass reward/cashback research; populated only from located source material.</t>
        </is>
      </c>
    </row>
    <row r="126">
      <c r="A126" t="inlineStr">
        <is>
          <t>IDFC FIRST SWYP Credit Card</t>
        </is>
      </c>
      <c r="B126" t="inlineStr">
        <is>
          <t>IDFC FIRST Bank</t>
        </is>
      </c>
      <c r="C126" t="inlineStr">
        <is>
          <t>Official issuer</t>
        </is>
      </c>
      <c r="D126" t="inlineStr">
        <is>
          <t>https://www.idfcfirstbank.com/content/dam/idfcfirstbank/pdf/SWYP-CC-Rewards-Structure-TnC.pdf</t>
        </is>
      </c>
      <c r="E126" t="inlineStr">
        <is>
          <t>Second-pass reward/cashback research; populated only from located source material.</t>
        </is>
      </c>
    </row>
    <row r="127">
      <c r="A127" t="inlineStr">
        <is>
          <t>IDFC FIRST Ashva Credit Card</t>
        </is>
      </c>
      <c r="B127" t="inlineStr">
        <is>
          <t>IDFC FIRST Bank</t>
        </is>
      </c>
      <c r="C127" t="inlineStr">
        <is>
          <t>Official issuer</t>
        </is>
      </c>
      <c r="D127" t="inlineStr">
        <is>
          <t>https://www.idfcfirstbank.com/content/dam/idfcfirstbank/pdf/Ashva-CC-Rewards-Structure-TnC-28-05-25-copy.pdf</t>
        </is>
      </c>
      <c r="E127" t="inlineStr">
        <is>
          <t>Second-pass reward/cashback research; populated only from located source material.</t>
        </is>
      </c>
    </row>
    <row r="128">
      <c r="A128" t="inlineStr">
        <is>
          <t>IDFC FIRST Mayura Credit Card</t>
        </is>
      </c>
      <c r="B128" t="inlineStr">
        <is>
          <t>IDFC FIRST Bank</t>
        </is>
      </c>
      <c r="C128" t="inlineStr">
        <is>
          <t>Official issuer</t>
        </is>
      </c>
      <c r="D128" t="inlineStr">
        <is>
          <t>https://www.idfcfirstbank.com/content/dam/idfcfirstbank/pdf/Mayura-CC-Rewards-Structure-TnC-28-05-25.pdf</t>
        </is>
      </c>
      <c r="E128" t="inlineStr">
        <is>
          <t>Second-pass reward/cashback research; populated only from located source material.</t>
        </is>
      </c>
    </row>
    <row r="129">
      <c r="A129" t="inlineStr">
        <is>
          <t>IndiGo IDFC FIRST Credit Card</t>
        </is>
      </c>
      <c r="B129" t="inlineStr">
        <is>
          <t>IDFC FIRST Bank</t>
        </is>
      </c>
      <c r="C129" t="inlineStr">
        <is>
          <t>Official issuer</t>
        </is>
      </c>
      <c r="D129" t="inlineStr">
        <is>
          <t>https://www.idfcfirstbank.com/content/dam/idfcfirstbank/pdf/news-media/press-release/Press-Release-IDFC-FIRST-18-Aug-2025.pdf</t>
        </is>
      </c>
      <c r="E129" t="inlineStr">
        <is>
          <t>Issuer press release supports the accelerated IndiGo rate; general-spend base rate left descriptive rather than inferred.</t>
        </is>
      </c>
    </row>
    <row r="130">
      <c r="A130" t="inlineStr">
        <is>
          <t>IDFC FIRST Private Credit Card</t>
        </is>
      </c>
      <c r="B130" t="inlineStr">
        <is>
          <t>IDFC FIRST Bank</t>
        </is>
      </c>
      <c r="C130" t="inlineStr">
        <is>
          <t>Official issuer</t>
        </is>
      </c>
      <c r="D130" t="inlineStr">
        <is>
          <t>https://www.idfcfirstbank.com/content/dam/idfcfirstbank/pdf/FIRST-Private-Credit-Card-Reward-Points-Terms-and-Conditions.pdf</t>
        </is>
      </c>
      <c r="E130" t="inlineStr">
        <is>
          <t>Second-pass reward/cashback research; populated only from located source material.</t>
        </is>
      </c>
    </row>
    <row r="131">
      <c r="A131" t="inlineStr">
        <is>
          <t>Club Vistara IDFC FIRST Bank Credit Card</t>
        </is>
      </c>
      <c r="B131" t="inlineStr">
        <is>
          <t>IDFC FIRST Bank</t>
        </is>
      </c>
      <c r="C131" t="inlineStr">
        <is>
          <t>Official issuer</t>
        </is>
      </c>
      <c r="D131" t="inlineStr">
        <is>
          <t>https://www.idfcfirstbank.com/content/dam/idfcfirstbank/pdf/vistara/Terms-and-Conditions-Club-Vistara-Benefits.pdf</t>
        </is>
      </c>
      <c r="E131" t="inlineStr">
        <is>
          <t>Discontinued co-brand; legacy issuer benefit terms retained.</t>
        </is>
      </c>
    </row>
    <row r="132">
      <c r="A132" t="inlineStr">
        <is>
          <t>EazyDiner IndusInd Bank Platinum Credit Card</t>
        </is>
      </c>
      <c r="B132" t="inlineStr">
        <is>
          <t>IndusInd Bank</t>
        </is>
      </c>
      <c r="C132" t="inlineStr">
        <is>
          <t>Official issuer</t>
        </is>
      </c>
      <c r="D132" t="inlineStr">
        <is>
          <t>https://www.indusind.bank.in/in/en/personal/cards/credit-card.html</t>
        </is>
      </c>
      <c r="E132" t="inlineStr">
        <is>
          <t>Second-pass reward/cashback research; populated only from located source material.</t>
        </is>
      </c>
    </row>
    <row r="133">
      <c r="A133" t="inlineStr">
        <is>
          <t>IndusInd Bank EazyDiner Signature Credit Card</t>
        </is>
      </c>
      <c r="B133" t="inlineStr">
        <is>
          <t>IndusInd Bank</t>
        </is>
      </c>
      <c r="C133" t="inlineStr">
        <is>
          <t>Official issuer</t>
        </is>
      </c>
      <c r="D133" t="inlineStr">
        <is>
          <t>https://www.indusind.bank.in/in/en/personal/cards/credit-card/eazydiner-credit-card.html</t>
        </is>
      </c>
      <c r="E133" t="inlineStr">
        <is>
          <t>Second-pass reward/cashback research; populated only from located source material.</t>
        </is>
      </c>
    </row>
    <row r="134">
      <c r="A134" t="inlineStr">
        <is>
          <t>IndusInd Bank Platinum Aura Edge Credit Card</t>
        </is>
      </c>
      <c r="B134" t="inlineStr">
        <is>
          <t>IndusInd Bank</t>
        </is>
      </c>
      <c r="C134" t="inlineStr">
        <is>
          <t>Official issuer</t>
        </is>
      </c>
      <c r="D134" t="inlineStr">
        <is>
          <t>https://www.indusind.bank.in/in/en/personal/cards/credit-card.html</t>
        </is>
      </c>
      <c r="E134" t="inlineStr">
        <is>
          <t>Legacy plan-based proposition; exact earn depends on the cardholder-selected Aura Edge plan.</t>
        </is>
      </c>
    </row>
    <row r="135">
      <c r="A135" t="inlineStr">
        <is>
          <t>IndusInd Bank ePay Amex Credit Card</t>
        </is>
      </c>
      <c r="B135" t="inlineStr">
        <is>
          <t>IndusInd Bank</t>
        </is>
      </c>
      <c r="C135" t="inlineStr">
        <is>
          <t>Official issuer</t>
        </is>
      </c>
      <c r="D135" t="inlineStr">
        <is>
          <t>https://www.indusind.bank.in/in/en/personal/cards/credit-card.html</t>
        </is>
      </c>
      <c r="E135" t="inlineStr">
        <is>
          <t>Second-pass reward/cashback research; populated only from located source material.</t>
        </is>
      </c>
    </row>
    <row r="136">
      <c r="A136" t="inlineStr">
        <is>
          <t>IndusInd Bank Solitaire Credit Card</t>
        </is>
      </c>
      <c r="B136" t="inlineStr">
        <is>
          <t>IndusInd Bank</t>
        </is>
      </c>
      <c r="C136" t="inlineStr">
        <is>
          <t>Official issuer</t>
        </is>
      </c>
      <c r="D136" t="inlineStr">
        <is>
          <t>https://www.indusind.bank.in/in/en/personal/cards/credit-card.html</t>
        </is>
      </c>
      <c r="E136" t="inlineStr">
        <is>
          <t>Second-pass reward/cashback research; populated only from located source material.</t>
        </is>
      </c>
    </row>
    <row r="137">
      <c r="A137" t="inlineStr">
        <is>
          <t>IndusInd Bank Indulge Credit Card</t>
        </is>
      </c>
      <c r="B137" t="inlineStr">
        <is>
          <t>IndusInd Bank</t>
        </is>
      </c>
      <c r="C137" t="inlineStr">
        <is>
          <t>Official issuer</t>
        </is>
      </c>
      <c r="D137" t="inlineStr">
        <is>
          <t>https://www.indusind.bank.in/in/en/personal/cards/credit-card.html</t>
        </is>
      </c>
      <c r="E137" t="inlineStr">
        <is>
          <t>Second-pass reward/cashback research; populated only from located source material.</t>
        </is>
      </c>
    </row>
    <row r="138">
      <c r="A138" t="inlineStr">
        <is>
          <t>IndusInd Bank Pioneer Heritage Credit Card</t>
        </is>
      </c>
      <c r="B138" t="inlineStr">
        <is>
          <t>IndusInd Bank</t>
        </is>
      </c>
      <c r="C138" t="inlineStr">
        <is>
          <t>Official issuer</t>
        </is>
      </c>
      <c r="D138" t="inlineStr">
        <is>
          <t>https://www.indusind.bank.in/in/en/personal/cards/credit-card.html</t>
        </is>
      </c>
      <c r="E138" t="inlineStr">
        <is>
          <t>Second-pass reward/cashback research; populated only from located source material.</t>
        </is>
      </c>
    </row>
    <row r="139">
      <c r="A139" t="inlineStr">
        <is>
          <t>IndusInd Bank Platinum Aura Credit Card</t>
        </is>
      </c>
      <c r="B139" t="inlineStr">
        <is>
          <t>IndusInd Bank</t>
        </is>
      </c>
      <c r="C139" t="inlineStr">
        <is>
          <t>Official issuer</t>
        </is>
      </c>
      <c r="D139" t="inlineStr">
        <is>
          <t>https://www.indusind.bank.in/in/en/personal/cards/credit-card/platinum-aura-visa-and-mastercard-credit-card.html</t>
        </is>
      </c>
      <c r="E139" t="inlineStr">
        <is>
          <t>Discontinued card; official legacy page still exposes the plan-based rewards proposition.</t>
        </is>
      </c>
    </row>
    <row r="140">
      <c r="A140" t="inlineStr">
        <is>
          <t>IndusInd Bank Platinum Select Credit Card</t>
        </is>
      </c>
      <c r="B140" t="inlineStr">
        <is>
          <t>IndusInd Bank</t>
        </is>
      </c>
      <c r="C140" t="inlineStr">
        <is>
          <t>Official issuer</t>
        </is>
      </c>
      <c r="D140" t="inlineStr">
        <is>
          <t>https://www.indusind.bank.in/in/en/personal/cards/credit-card.html</t>
        </is>
      </c>
      <c r="E140" t="inlineStr">
        <is>
          <t>Discontinued; rate recovered from legacy programme material.</t>
        </is>
      </c>
    </row>
    <row r="141">
      <c r="A141" t="inlineStr">
        <is>
          <t>IndusInd Bank Iconia Credit Card</t>
        </is>
      </c>
      <c r="B141" t="inlineStr">
        <is>
          <t>IndusInd Bank</t>
        </is>
      </c>
      <c r="C141" t="inlineStr">
        <is>
          <t>Official issuer</t>
        </is>
      </c>
      <c r="D141" t="inlineStr">
        <is>
          <t>https://www.indusind.bank.in/in/en/personal/cards/credit-card.html</t>
        </is>
      </c>
      <c r="E141" t="inlineStr">
        <is>
          <t>Discontinued; legacy earn structure recovered from issuer material.</t>
        </is>
      </c>
    </row>
    <row r="142">
      <c r="A142" t="inlineStr">
        <is>
          <t>InterMiles IndusInd Bank Odyssey Credit Card</t>
        </is>
      </c>
      <c r="B142" t="inlineStr">
        <is>
          <t>IndusInd Bank</t>
        </is>
      </c>
      <c r="C142" t="inlineStr">
        <is>
          <t>Official issuer</t>
        </is>
      </c>
      <c r="D142" t="inlineStr">
        <is>
          <t>https://www.indusind.bank.in/in/en/personal/cards/credit-card/intermiles-odyssey-amex-credit-card.html</t>
        </is>
      </c>
      <c r="E142" t="inlineStr">
        <is>
          <t>Discontinued and network-dependent; catalogue name does not specify network.</t>
        </is>
      </c>
    </row>
    <row r="143">
      <c r="A143" t="inlineStr">
        <is>
          <t>InterMiles IndusInd Bank Voyage Credit Card</t>
        </is>
      </c>
      <c r="B143" t="inlineStr">
        <is>
          <t>IndusInd Bank</t>
        </is>
      </c>
      <c r="C143" t="inlineStr">
        <is>
          <t>Official issuer</t>
        </is>
      </c>
      <c r="D143" t="inlineStr">
        <is>
          <t>https://www.indusind.bank.in/in/en/personal/cards/credit-card/intermiles-voyage-visa-credit-card.html</t>
        </is>
      </c>
      <c r="E143" t="inlineStr">
        <is>
          <t>Discontinued and network-dependent; rates shown are for the Visa proposition where specified.</t>
        </is>
      </c>
    </row>
    <row r="144">
      <c r="A144" t="inlineStr">
        <is>
          <t>Club Vistara IndusInd Bank Explorer Credit Card</t>
        </is>
      </c>
      <c r="B144" t="inlineStr">
        <is>
          <t>IndusInd Bank</t>
        </is>
      </c>
      <c r="C144" t="inlineStr">
        <is>
          <t>Official issuer</t>
        </is>
      </c>
      <c r="D144" t="inlineStr">
        <is>
          <t>https://www.indusind.bank.in/in/en/personal/cards/credit-card.html</t>
        </is>
      </c>
      <c r="E144" t="inlineStr">
        <is>
          <t>Discontinued legacy co-brand; recovered from legacy benefit material.</t>
        </is>
      </c>
    </row>
    <row r="145">
      <c r="A145" t="inlineStr">
        <is>
          <t>AU SPONT Credit Card</t>
        </is>
      </c>
      <c r="B145" t="inlineStr">
        <is>
          <t>AU Small Finance Bank</t>
        </is>
      </c>
      <c r="C145" t="inlineStr">
        <is>
          <t>Official issuer</t>
        </is>
      </c>
      <c r="D145" t="inlineStr">
        <is>
          <t>https://www.au.bank.in/personal-banking/credit-cards/au-spont-credit-card</t>
        </is>
      </c>
      <c r="E145" t="inlineStr">
        <is>
          <t>Second-pass reward/cashback research; populated only from located source material.</t>
        </is>
      </c>
    </row>
    <row r="146">
      <c r="A146" t="inlineStr">
        <is>
          <t>ixigo AU Credit Card</t>
        </is>
      </c>
      <c r="B146" t="inlineStr">
        <is>
          <t>AU Small Finance Bank</t>
        </is>
      </c>
      <c r="C146" t="inlineStr">
        <is>
          <t>Official issuer</t>
        </is>
      </c>
      <c r="D146" t="inlineStr">
        <is>
          <t>https://www.au.bank.in/personal-banking/credit-cards/ixigo-au-credit-card</t>
        </is>
      </c>
      <c r="E146" t="inlineStr">
        <is>
          <t>Second-pass reward/cashback research; populated only from located source material.</t>
        </is>
      </c>
    </row>
    <row r="147">
      <c r="A147" t="inlineStr">
        <is>
          <t>AU Zenith+ Credit Card</t>
        </is>
      </c>
      <c r="B147" t="inlineStr">
        <is>
          <t>AU Small Finance Bank</t>
        </is>
      </c>
      <c r="C147" t="inlineStr">
        <is>
          <t>Official issuer</t>
        </is>
      </c>
      <c r="D147" t="inlineStr">
        <is>
          <t>https://www.au.bank.in/premium-banking/credit-cards/zenith-plus-credit-card</t>
        </is>
      </c>
      <c r="E147" t="inlineStr">
        <is>
          <t>Current live issuer page uses an up-to formulation; no inferred generic base rate added.</t>
        </is>
      </c>
    </row>
    <row r="148">
      <c r="A148" t="inlineStr">
        <is>
          <t>AU Bank Ananta Credit Card</t>
        </is>
      </c>
      <c r="B148" t="inlineStr">
        <is>
          <t>AU Small Finance Bank</t>
        </is>
      </c>
      <c r="C148" t="inlineStr">
        <is>
          <t>Official issuer</t>
        </is>
      </c>
      <c r="D148" t="inlineStr">
        <is>
          <t>https://www.au.bank.in/personal-banking/credit-cards/ananta-credit-card</t>
        </is>
      </c>
      <c r="E148" t="inlineStr">
        <is>
          <t>Second-pass reward/cashback research; populated only from located source material.</t>
        </is>
      </c>
    </row>
    <row r="149">
      <c r="A149" t="inlineStr">
        <is>
          <t>AU Bank Laksya Credit Card</t>
        </is>
      </c>
      <c r="B149" t="inlineStr">
        <is>
          <t>AU Small Finance Bank</t>
        </is>
      </c>
      <c r="C149" t="inlineStr">
        <is>
          <t>Official issuer</t>
        </is>
      </c>
      <c r="D149" t="inlineStr">
        <is>
          <t>https://www.au.bank.in/personal-banking/credit-cards/laksya-credit-card</t>
        </is>
      </c>
      <c r="E149" t="inlineStr">
        <is>
          <t>Second-pass reward/cashback research; populated only from located source material.</t>
        </is>
      </c>
    </row>
    <row r="150">
      <c r="A150" t="inlineStr">
        <is>
          <t>AU Bank Tejas Credit Card</t>
        </is>
      </c>
      <c r="B150" t="inlineStr">
        <is>
          <t>AU Small Finance Bank</t>
        </is>
      </c>
      <c r="C150" t="inlineStr">
        <is>
          <t>Official issuer</t>
        </is>
      </c>
      <c r="D150" t="inlineStr">
        <is>
          <t>https://www.au.bank.in/personal-banking/credit-cards/tejas-credit-card</t>
        </is>
      </c>
      <c r="E150" t="inlineStr">
        <is>
          <t>Second-pass reward/cashback research; populated only from located source material.</t>
        </is>
      </c>
    </row>
    <row r="151">
      <c r="A151" t="inlineStr">
        <is>
          <t>AU Bank Prathama Credit Card</t>
        </is>
      </c>
      <c r="B151" t="inlineStr">
        <is>
          <t>AU Small Finance Bank</t>
        </is>
      </c>
      <c r="C151" t="inlineStr">
        <is>
          <t>Official issuer</t>
        </is>
      </c>
      <c r="D151" t="inlineStr">
        <is>
          <t>https://www.au.bank.in/personal-banking/credit-cards/prathama-credit-card</t>
        </is>
      </c>
      <c r="E151" t="inlineStr">
        <is>
          <t>Second-pass reward/cashback research; populated only from located source material.</t>
        </is>
      </c>
    </row>
    <row r="152">
      <c r="A152" t="inlineStr">
        <is>
          <t>AU Bank LIT Credit Card</t>
        </is>
      </c>
      <c r="B152" t="inlineStr">
        <is>
          <t>AU Small Finance Bank</t>
        </is>
      </c>
      <c r="C152" t="inlineStr">
        <is>
          <t>Official issuer</t>
        </is>
      </c>
      <c r="D152" t="inlineStr">
        <is>
          <t>https://www.au.bank.in/lit-terms-and-conditions</t>
        </is>
      </c>
      <c r="E152" t="inlineStr">
        <is>
          <t>Second-pass reward/cashback research; populated only from located source material.</t>
        </is>
      </c>
    </row>
    <row r="153">
      <c r="A153" t="inlineStr">
        <is>
          <t>AU Bank CS Credit Card</t>
        </is>
      </c>
      <c r="B153" t="inlineStr">
        <is>
          <t>AU Small Finance Bank</t>
        </is>
      </c>
      <c r="C153" t="inlineStr">
        <is>
          <t>Credible secondary</t>
        </is>
      </c>
      <c r="D153" t="inlineStr">
        <is>
          <t>https://cardadvisor.in/articles/au-cs-credit-card-review-2026</t>
        </is>
      </c>
      <c r="E153" t="inlineStr">
        <is>
          <t>Current AU premium catalogue confirms the product but does not surface the exact earn table in search-accessible text; accelerated rate sourced from a current specialist review.</t>
        </is>
      </c>
    </row>
    <row r="154">
      <c r="A154" t="inlineStr">
        <is>
          <t>AU Bank Vetta Credit Card</t>
        </is>
      </c>
      <c r="B154" t="inlineStr">
        <is>
          <t>AU Small Finance Bank</t>
        </is>
      </c>
      <c r="C154" t="inlineStr">
        <is>
          <t>Official issuer</t>
        </is>
      </c>
      <c r="D154" t="inlineStr">
        <is>
          <t>https://www.au.bank.in/personal-banking/credit-cards/vetta-credit-card</t>
        </is>
      </c>
      <c r="E154" t="inlineStr">
        <is>
          <t>Second-pass reward/cashback research; populated only from located source material.</t>
        </is>
      </c>
    </row>
    <row r="155">
      <c r="A155" t="inlineStr">
        <is>
          <t>AU Bank NOMO Credit Card</t>
        </is>
      </c>
      <c r="B155" t="inlineStr">
        <is>
          <t>AU Small Finance Bank</t>
        </is>
      </c>
      <c r="C155" t="inlineStr">
        <is>
          <t>Official issuer</t>
        </is>
      </c>
      <c r="D155" t="inlineStr">
        <is>
          <t>https://www.au.bank.in/personal-banking/credit-cards/nomo-credit-card</t>
        </is>
      </c>
      <c r="E155" t="inlineStr">
        <is>
          <t>Second-pass reward/cashback research; populated only from located source material.</t>
        </is>
      </c>
    </row>
    <row r="156">
      <c r="A156" t="inlineStr">
        <is>
          <t>AU Bank Xcite Ultra Credit Card</t>
        </is>
      </c>
      <c r="B156" t="inlineStr">
        <is>
          <t>AU Small Finance Bank</t>
        </is>
      </c>
      <c r="C156" t="inlineStr">
        <is>
          <t>Official issuer</t>
        </is>
      </c>
      <c r="D156" t="inlineStr">
        <is>
          <t>https://www.au.bank.in/tnc/2024/cc-xcite-ultra-product-features.pdf</t>
        </is>
      </c>
      <c r="E156" t="inlineStr">
        <is>
          <t>Second-pass reward/cashback research; populated only from located source material.</t>
        </is>
      </c>
    </row>
    <row r="157">
      <c r="A157" t="inlineStr">
        <is>
          <t>AU Bank Xcite Ace Credit Card</t>
        </is>
      </c>
      <c r="B157" t="inlineStr">
        <is>
          <t>AU Small Finance Bank</t>
        </is>
      </c>
      <c r="C157" t="inlineStr">
        <is>
          <t>Credible secondary</t>
        </is>
      </c>
      <c r="D157" t="inlineStr">
        <is>
          <t>https://cardadvisor.in/articles/au-xcite-ace-credit-card-review-2026</t>
        </is>
      </c>
      <c r="E157" t="inlineStr">
        <is>
          <t>Issuer live page states up to 3% milestone cashback but does not expose the full tier table in search-accessible text; tier thresholds sourced from current specialist review.</t>
        </is>
      </c>
    </row>
    <row r="158">
      <c r="A158" t="inlineStr">
        <is>
          <t>AU Bank Xcite Credit Card</t>
        </is>
      </c>
      <c r="B158" t="inlineStr">
        <is>
          <t>AU Small Finance Bank</t>
        </is>
      </c>
      <c r="C158" t="inlineStr">
        <is>
          <t>Credible secondary</t>
        </is>
      </c>
      <c r="D158" t="inlineStr">
        <is>
          <t>https://9cards.in/credit-cards/au-xcite</t>
        </is>
      </c>
      <c r="E158" t="inlineStr">
        <is>
          <t>Current specialist source cites issuer product/MITC data; live AU catalogue confirms the card but search-accessible text did not expose the full table.</t>
        </is>
      </c>
    </row>
    <row r="159">
      <c r="A159" t="inlineStr">
        <is>
          <t>AU Bank Traverse NRI Credit Card</t>
        </is>
      </c>
      <c r="B159" t="inlineStr">
        <is>
          <t>AU Small Finance Bank</t>
        </is>
      </c>
      <c r="C159" t="inlineStr">
        <is>
          <t>Official issuer</t>
        </is>
      </c>
      <c r="D159" t="inlineStr">
        <is>
          <t>https://www.au.bank.in/premium-banking/credit-cards/traverse-credit-card</t>
        </is>
      </c>
      <c r="E159" t="inlineStr">
        <is>
          <t>Exact numeric earn table not visible on the current public page; no rate inferred.</t>
        </is>
      </c>
    </row>
    <row r="160">
      <c r="A160" t="inlineStr">
        <is>
          <t>AU Bank InstaPay RuPay Credit Card</t>
        </is>
      </c>
      <c r="B160" t="inlineStr">
        <is>
          <t>AU Small Finance Bank</t>
        </is>
      </c>
      <c r="C160" t="inlineStr">
        <is>
          <t>Official issuer</t>
        </is>
      </c>
      <c r="D160" t="inlineStr">
        <is>
          <t>https://www.au.bank.in/personal-banking/credit-cards/instapay-credit-card</t>
        </is>
      </c>
      <c r="E160" t="inlineStr">
        <is>
          <t>Second-pass reward/cashback research; populated only from located source material.</t>
        </is>
      </c>
    </row>
    <row r="161">
      <c r="A161" t="inlineStr">
        <is>
          <t>AU Bank Kosmo Credit Card</t>
        </is>
      </c>
      <c r="B161" t="inlineStr">
        <is>
          <t>AU Small Finance Bank</t>
        </is>
      </c>
      <c r="C161" t="inlineStr">
        <is>
          <t>Official issuer</t>
        </is>
      </c>
      <c r="D161" t="inlineStr">
        <is>
          <t>https://www.au.bank.in/personal-banking/credit-cards/kosmo-credit-card</t>
        </is>
      </c>
      <c r="E161" t="inlineStr">
        <is>
          <t>Exact numeric rate not populated because the current issuer page did not expose it in accessible text.</t>
        </is>
      </c>
    </row>
    <row r="162">
      <c r="A162" t="inlineStr">
        <is>
          <t>AU Bank Zaggle Credit Card</t>
        </is>
      </c>
      <c r="B162" t="inlineStr">
        <is>
          <t>AU Small Finance Bank</t>
        </is>
      </c>
      <c r="C162" t="inlineStr">
        <is>
          <t>Official issuer</t>
        </is>
      </c>
      <c r="D162" t="inlineStr">
        <is>
          <t>https://www.au.bank.in/personal-banking/credit-cards/au-zaggle-credit-card</t>
        </is>
      </c>
      <c r="E162" t="inlineStr">
        <is>
          <t>Second-pass reward/cashback research; populated only from located source material.</t>
        </is>
      </c>
    </row>
    <row r="163">
      <c r="A163" t="inlineStr">
        <is>
          <t>CheQ AU Bank Credit Card</t>
        </is>
      </c>
      <c r="B163" t="inlineStr">
        <is>
          <t>AU Small Finance Bank</t>
        </is>
      </c>
      <c r="C163" t="inlineStr">
        <is>
          <t>Official issuer</t>
        </is>
      </c>
      <c r="D163" t="inlineStr">
        <is>
          <t>https://www.au.bank.in/pdf/credit-card/CheQ-Rewards-TnC.pdf</t>
        </is>
      </c>
      <c r="E163" t="inlineStr">
        <is>
          <t>Second-pass reward/cashback research; populated only from located source material.</t>
        </is>
      </c>
    </row>
    <row r="164">
      <c r="A164" t="inlineStr">
        <is>
          <t>Paytm AU Bank Credit Card</t>
        </is>
      </c>
      <c r="B164" t="inlineStr">
        <is>
          <t>AU Small Finance Bank</t>
        </is>
      </c>
      <c r="C164" t="inlineStr">
        <is>
          <t>Official issuer</t>
        </is>
      </c>
      <c r="D164" t="inlineStr">
        <is>
          <t>https://www.au.bank.in/personal-banking/credit-cards/paytm-au-credit-card</t>
        </is>
      </c>
      <c r="E164" t="inlineStr">
        <is>
          <t>Second-pass reward/cashback research; populated only from located source material.</t>
        </is>
      </c>
    </row>
    <row r="165">
      <c r="A165" t="inlineStr">
        <is>
          <t>AU Bank Zenith Credit Card</t>
        </is>
      </c>
      <c r="B165" t="inlineStr">
        <is>
          <t>AU Small Finance Bank</t>
        </is>
      </c>
      <c r="C165" t="inlineStr">
        <is>
          <t>Official issuer</t>
        </is>
      </c>
      <c r="D165" t="inlineStr">
        <is>
          <t>https://www.au.bank.in/personal-banking/credit-cards/zenith-credit-card</t>
        </is>
      </c>
      <c r="E165" t="inlineStr">
        <is>
          <t>Second-pass reward/cashback research; populated only from located source material.</t>
        </is>
      </c>
    </row>
    <row r="166">
      <c r="A166" t="inlineStr">
        <is>
          <t>AU Bank Altura Plus Credit Card</t>
        </is>
      </c>
      <c r="B166" t="inlineStr">
        <is>
          <t>AU Small Finance Bank</t>
        </is>
      </c>
      <c r="C166" t="inlineStr">
        <is>
          <t>Official issuer</t>
        </is>
      </c>
      <c r="D166" t="inlineStr">
        <is>
          <t>https://www.au.bank.in/personal-banking/credit-cards/altura-plus-credit-card</t>
        </is>
      </c>
      <c r="E166" t="inlineStr">
        <is>
          <t>Second-pass reward/cashback research; populated only from located source material.</t>
        </is>
      </c>
    </row>
    <row r="167">
      <c r="A167" t="inlineStr">
        <is>
          <t>AU Bank Altura Credit Card</t>
        </is>
      </c>
      <c r="B167" t="inlineStr">
        <is>
          <t>AU Small Finance Bank</t>
        </is>
      </c>
      <c r="C167" t="inlineStr">
        <is>
          <t>Official issuer</t>
        </is>
      </c>
      <c r="D167" t="inlineStr">
        <is>
          <t>https://www.au.bank.in/personal-banking/credit-cards/altura-credit-card</t>
        </is>
      </c>
      <c r="E167" t="inlineStr">
        <is>
          <t>Second-pass reward/cashback research; populated only from located source material.</t>
        </is>
      </c>
    </row>
    <row r="168">
      <c r="A168" t="inlineStr">
        <is>
          <t>YES BANK ACE Credit Card</t>
        </is>
      </c>
      <c r="B168" t="inlineStr">
        <is>
          <t>YES BANK</t>
        </is>
      </c>
      <c r="C168" t="inlineStr">
        <is>
          <t>Official issuer</t>
        </is>
      </c>
      <c r="D168" t="inlineStr">
        <is>
          <t>https://www.yes.bank.in/personal-banking/yes-individual/cards/credit-cards</t>
        </is>
      </c>
      <c r="E168" t="inlineStr">
        <is>
          <t>Second-pass reward/cashback research; populated only from located source material.</t>
        </is>
      </c>
    </row>
    <row r="169">
      <c r="A169" t="inlineStr">
        <is>
          <t>YES SELECT Credit Card</t>
        </is>
      </c>
      <c r="B169" t="inlineStr">
        <is>
          <t>YES BANK</t>
        </is>
      </c>
      <c r="C169" t="inlineStr">
        <is>
          <t>Official issuer</t>
        </is>
      </c>
      <c r="D169" t="inlineStr">
        <is>
          <t>https://www.yes.bank.in/personal-banking/yes-individual/cards/credit-cards/select-credit-card</t>
        </is>
      </c>
      <c r="E169" t="inlineStr">
        <is>
          <t>Second-pass reward/cashback research; populated only from located source material.</t>
        </is>
      </c>
    </row>
    <row r="170">
      <c r="A170" t="inlineStr">
        <is>
          <t>YES FinBooster Credit Card</t>
        </is>
      </c>
      <c r="B170" t="inlineStr">
        <is>
          <t>YES BANK</t>
        </is>
      </c>
      <c r="C170" t="inlineStr">
        <is>
          <t>Official issuer</t>
        </is>
      </c>
      <c r="D170" t="inlineStr">
        <is>
          <t>https://www.yes.bank.in/personal-banking/yes-individual/cards/credit-cards</t>
        </is>
      </c>
      <c r="E170" t="inlineStr">
        <is>
          <t>Second-pass reward/cashback research; populated only from located source material.</t>
        </is>
      </c>
    </row>
    <row r="171">
      <c r="A171" t="inlineStr">
        <is>
          <t>YES RuPay Credit Card</t>
        </is>
      </c>
      <c r="B171" t="inlineStr">
        <is>
          <t>YES BANK</t>
        </is>
      </c>
      <c r="C171" t="inlineStr">
        <is>
          <t>Official issuer</t>
        </is>
      </c>
      <c r="D171" t="inlineStr">
        <is>
          <t>https://www.yes.bank.in/personal-banking/yes-individual/cards/credit-cards</t>
        </is>
      </c>
      <c r="E171" t="inlineStr">
        <is>
          <t>Second-pass reward/cashback research; populated only from located source material.</t>
        </is>
      </c>
    </row>
    <row r="172">
      <c r="A172" t="inlineStr">
        <is>
          <t>YES EMI Credit Card</t>
        </is>
      </c>
      <c r="B172" t="inlineStr">
        <is>
          <t>YES BANK</t>
        </is>
      </c>
      <c r="C172" t="inlineStr">
        <is>
          <t>Official issuer</t>
        </is>
      </c>
      <c r="D172" t="inlineStr">
        <is>
          <t>https://www.yes.bank.in/personal-banking/yes-individual/cards/credit-cards</t>
        </is>
      </c>
      <c r="E172" t="inlineStr">
        <is>
          <t>Second-pass reward/cashback research; populated only from located source material.</t>
        </is>
      </c>
    </row>
    <row r="173">
      <c r="A173" t="inlineStr">
        <is>
          <t>YES Wellness Credit Card</t>
        </is>
      </c>
      <c r="B173" t="inlineStr">
        <is>
          <t>YES BANK</t>
        </is>
      </c>
      <c r="C173" t="inlineStr">
        <is>
          <t>Credible secondary</t>
        </is>
      </c>
      <c r="D173" t="inlineStr">
        <is>
          <t>https://www.paisabazaar.com/yes-bank/wellness-credit-card/</t>
        </is>
      </c>
      <c r="E173" t="inlineStr">
        <is>
          <t>Issuer KFS confirms the product; detailed earn table was recovered from a current card comparison source.</t>
        </is>
      </c>
    </row>
    <row r="174">
      <c r="A174" t="inlineStr">
        <is>
          <t>YES Wellness Plus Credit Card</t>
        </is>
      </c>
      <c r="B174" t="inlineStr">
        <is>
          <t>YES BANK</t>
        </is>
      </c>
      <c r="C174" t="inlineStr">
        <is>
          <t>Official issuer</t>
        </is>
      </c>
      <c r="D174" t="inlineStr">
        <is>
          <t>https://www.yes.bank.in/personal-banking/yes-individual/cards/credit-cards/wellness-plus-cards</t>
        </is>
      </c>
      <c r="E174" t="inlineStr">
        <is>
          <t>Second-pass reward/cashback research; populated only from located source material.</t>
        </is>
      </c>
    </row>
    <row r="175">
      <c r="A175" t="inlineStr">
        <is>
          <t>YES BYOC Credit Card</t>
        </is>
      </c>
      <c r="B175" t="inlineStr">
        <is>
          <t>YES BANK</t>
        </is>
      </c>
      <c r="C175" t="inlineStr">
        <is>
          <t>Official issuer</t>
        </is>
      </c>
      <c r="D175" t="inlineStr">
        <is>
          <t>https://www.yesbank.in/content/published/api/v1.1/assets/CONTE8D52EF526B44370B731A2D4237736CE/native/yesbank_byoc_mitc.pdf</t>
        </is>
      </c>
      <c r="E175" t="inlineStr">
        <is>
          <t>Second-pass reward/cashback research; populated only from located source material.</t>
        </is>
      </c>
    </row>
    <row r="176">
      <c r="A176" t="inlineStr">
        <is>
          <t>Paisabazaar PaisaSave YES BANK Credit Card</t>
        </is>
      </c>
      <c r="B176" t="inlineStr">
        <is>
          <t>YES BANK</t>
        </is>
      </c>
      <c r="C176" t="inlineStr">
        <is>
          <t>Official issuer</t>
        </is>
      </c>
      <c r="D176" t="inlineStr">
        <is>
          <t>https://www.yes.bank.in/personal-banking/yes-individual/cards/credit-cards</t>
        </is>
      </c>
      <c r="E176" t="inlineStr">
        <is>
          <t>Second-pass reward/cashback research; populated only from located source material.</t>
        </is>
      </c>
    </row>
    <row r="177">
      <c r="A177" t="inlineStr">
        <is>
          <t>Paisabazaar PaisaSave RuPay Credit Card</t>
        </is>
      </c>
      <c r="B177" t="inlineStr">
        <is>
          <t>YES BANK</t>
        </is>
      </c>
      <c r="C177" t="inlineStr">
        <is>
          <t>Official issuer</t>
        </is>
      </c>
      <c r="D177" t="inlineStr">
        <is>
          <t>https://www.yes.bank.in/personal-banking/yes-individual/cards/credit-cards</t>
        </is>
      </c>
      <c r="E177" t="inlineStr">
        <is>
          <t>Second-pass reward/cashback research; populated only from located source material.</t>
        </is>
      </c>
    </row>
    <row r="178">
      <c r="A178" t="inlineStr">
        <is>
          <t>POP-CLUB YES BANK Credit Card</t>
        </is>
      </c>
      <c r="B178" t="inlineStr">
        <is>
          <t>YES BANK</t>
        </is>
      </c>
      <c r="C178" t="inlineStr">
        <is>
          <t>Official issuer</t>
        </is>
      </c>
      <c r="D178" t="inlineStr">
        <is>
          <t>https://www.yes.bank.in/personal-banking/yes-individual/cards/credit-cards</t>
        </is>
      </c>
      <c r="E178" t="inlineStr">
        <is>
          <t>Second-pass reward/cashback research; populated only from located source material.</t>
        </is>
      </c>
    </row>
    <row r="179">
      <c r="A179" t="inlineStr">
        <is>
          <t>ANQ Phi YES BANK Credit Card</t>
        </is>
      </c>
      <c r="B179" t="inlineStr">
        <is>
          <t>YES BANK</t>
        </is>
      </c>
      <c r="C179" t="inlineStr">
        <is>
          <t>Official issuer</t>
        </is>
      </c>
      <c r="D179" t="inlineStr">
        <is>
          <t>https://www.yes.bank.in/personal-banking/yes-individual/cards/credit-cards</t>
        </is>
      </c>
      <c r="E179" t="inlineStr">
        <is>
          <t>Second-pass reward/cashback research; populated only from located source material.</t>
        </is>
      </c>
    </row>
    <row r="180">
      <c r="A180" t="inlineStr">
        <is>
          <t>UNI YES BANK Credit Card</t>
        </is>
      </c>
      <c r="B180" t="inlineStr">
        <is>
          <t>YES BANK</t>
        </is>
      </c>
      <c r="C180" t="inlineStr">
        <is>
          <t>Official issuer</t>
        </is>
      </c>
      <c r="D180" t="inlineStr">
        <is>
          <t>https://www.yes.bank.in/personal-banking/yes-individual/cards/credit-cards</t>
        </is>
      </c>
      <c r="E180" t="inlineStr">
        <is>
          <t>Second-pass reward/cashback research; populated only from located source material.</t>
        </is>
      </c>
    </row>
    <row r="181">
      <c r="A181" t="inlineStr">
        <is>
          <t>Zagg YES BANK Credit Card</t>
        </is>
      </c>
      <c r="B181" t="inlineStr">
        <is>
          <t>YES BANK</t>
        </is>
      </c>
      <c r="C181" t="inlineStr">
        <is>
          <t>Official co-brand</t>
        </is>
      </c>
      <c r="D181" t="inlineStr">
        <is>
          <t>https://www.zagg.money/rewards-policy</t>
        </is>
      </c>
      <c r="E181" t="inlineStr">
        <is>
          <t>Second-pass reward/cashback research; populated only from located source material.</t>
        </is>
      </c>
    </row>
    <row r="182">
      <c r="A182" t="inlineStr">
        <is>
          <t>Klick YES BANK Credit Card</t>
        </is>
      </c>
      <c r="B182" t="inlineStr">
        <is>
          <t>YES BANK</t>
        </is>
      </c>
      <c r="C182" t="inlineStr">
        <is>
          <t>Official issuer</t>
        </is>
      </c>
      <c r="D182" t="inlineStr">
        <is>
          <t>https://www.yes.bank.in/personal-banking/yes-individual/cards/credit-cards</t>
        </is>
      </c>
      <c r="E182" t="inlineStr">
        <is>
          <t>Second-pass reward/cashback research; populated only from located source material.</t>
        </is>
      </c>
    </row>
    <row r="183">
      <c r="A183" t="inlineStr">
        <is>
          <t>YES PRIVATE Credit Card</t>
        </is>
      </c>
      <c r="B183" t="inlineStr">
        <is>
          <t>YES BANK</t>
        </is>
      </c>
      <c r="C183" t="inlineStr">
        <is>
          <t>Official issuer</t>
        </is>
      </c>
      <c r="D183" t="inlineStr">
        <is>
          <t>https://www.yes.bank.in/personal-banking/yes-private-credit-card</t>
        </is>
      </c>
      <c r="E183" t="inlineStr">
        <is>
          <t>Second-pass reward/cashback research; populated only from located source material.</t>
        </is>
      </c>
    </row>
    <row r="184">
      <c r="A184" t="inlineStr">
        <is>
          <t>Apex Credit Card</t>
        </is>
      </c>
      <c r="B184" t="inlineStr">
        <is>
          <t>RBL Bank</t>
        </is>
      </c>
      <c r="C184" t="inlineStr">
        <is>
          <t>Official issuer</t>
        </is>
      </c>
      <c r="D184" t="inlineStr">
        <is>
          <t>https://www.rbl.bank.in/personal-banking/cards/credit-cards/category</t>
        </is>
      </c>
      <c r="E184" t="inlineStr">
        <is>
          <t>Second-pass reward/cashback research; populated only from located source material.</t>
        </is>
      </c>
    </row>
    <row r="185">
      <c r="A185" t="inlineStr">
        <is>
          <t>World Safari Credit Card</t>
        </is>
      </c>
      <c r="B185" t="inlineStr">
        <is>
          <t>RBL Bank</t>
        </is>
      </c>
      <c r="C185" t="inlineStr">
        <is>
          <t>Official issuer</t>
        </is>
      </c>
      <c r="D185" t="inlineStr">
        <is>
          <t>https://www.rbl.bank.in/personal-banking/cards/credit-cards/category</t>
        </is>
      </c>
      <c r="E185" t="inlineStr">
        <is>
          <t>Second-pass reward/cashback research; populated only from located source material.</t>
        </is>
      </c>
    </row>
    <row r="186">
      <c r="A186" t="inlineStr">
        <is>
          <t>Cookies Credit Card</t>
        </is>
      </c>
      <c r="B186" t="inlineStr">
        <is>
          <t>RBL Bank</t>
        </is>
      </c>
      <c r="C186" t="inlineStr">
        <is>
          <t>Official issuer</t>
        </is>
      </c>
      <c r="D186" t="inlineStr">
        <is>
          <t>https://www.rbl.bank.in/personal-banking/cards/credit-cards/category</t>
        </is>
      </c>
      <c r="E186" t="inlineStr">
        <is>
          <t>Second-pass reward/cashback research; populated only from located source material.</t>
        </is>
      </c>
    </row>
    <row r="187">
      <c r="A187" t="inlineStr">
        <is>
          <t>RBL Bank NOVA Credit Card</t>
        </is>
      </c>
      <c r="B187" t="inlineStr">
        <is>
          <t>RBL Bank</t>
        </is>
      </c>
      <c r="C187" t="inlineStr">
        <is>
          <t>Official issuer</t>
        </is>
      </c>
      <c r="D187" t="inlineStr">
        <is>
          <t>https://www.rbl.bank.in/personal-banking/cards/credit-cards/nova-credit-card</t>
        </is>
      </c>
      <c r="E187" t="inlineStr">
        <is>
          <t>Second-pass reward/cashback research; populated only from located source material.</t>
        </is>
      </c>
    </row>
    <row r="188">
      <c r="A188" t="inlineStr">
        <is>
          <t>IRCTC RBL Bank Credit Card</t>
        </is>
      </c>
      <c r="B188" t="inlineStr">
        <is>
          <t>RBL Bank</t>
        </is>
      </c>
      <c r="C188" t="inlineStr">
        <is>
          <t>Official issuer</t>
        </is>
      </c>
      <c r="D188" t="inlineStr">
        <is>
          <t>https://www.rbl.bank.in/personal-banking/cards/credit-cards/irctc-rbl-bank-credit-card</t>
        </is>
      </c>
      <c r="E188" t="inlineStr">
        <is>
          <t>Second-pass reward/cashback research; populated only from located source material.</t>
        </is>
      </c>
    </row>
    <row r="189">
      <c r="A189" t="inlineStr">
        <is>
          <t>Shoppers Stop RBL Bank Gold Credit Card</t>
        </is>
      </c>
      <c r="B189" t="inlineStr">
        <is>
          <t>RBL Bank</t>
        </is>
      </c>
      <c r="C189" t="inlineStr">
        <is>
          <t>Official issuer</t>
        </is>
      </c>
      <c r="D189" t="inlineStr">
        <is>
          <t>https://www.rbl.bank.in/personal-banking/cards/credit-cards/category</t>
        </is>
      </c>
      <c r="E189" t="inlineStr">
        <is>
          <t>Second-pass reward/cashback research; populated only from located source material.</t>
        </is>
      </c>
    </row>
    <row r="190">
      <c r="A190" t="inlineStr">
        <is>
          <t>Shoppers Stop RBL Bank Platinum Credit Card</t>
        </is>
      </c>
      <c r="B190" t="inlineStr">
        <is>
          <t>RBL Bank</t>
        </is>
      </c>
      <c r="C190" t="inlineStr">
        <is>
          <t>Official issuer</t>
        </is>
      </c>
      <c r="D190" t="inlineStr">
        <is>
          <t>https://www.rbl.bank.in/personal-banking/cards/credit-cards/category</t>
        </is>
      </c>
      <c r="E190" t="inlineStr">
        <is>
          <t>Second-pass reward/cashback research; populated only from located source material.</t>
        </is>
      </c>
    </row>
    <row r="191">
      <c r="A191" t="inlineStr">
        <is>
          <t>Shoppers Stop RBL Bank Black Credit Card</t>
        </is>
      </c>
      <c r="B191" t="inlineStr">
        <is>
          <t>RBL Bank</t>
        </is>
      </c>
      <c r="C191" t="inlineStr">
        <is>
          <t>Official issuer</t>
        </is>
      </c>
      <c r="D191" t="inlineStr">
        <is>
          <t>https://www.rbl.bank.in/personal-banking/cards/credit-cards/category</t>
        </is>
      </c>
      <c r="E191" t="inlineStr">
        <is>
          <t>Second-pass reward/cashback research; populated only from located source material.</t>
        </is>
      </c>
    </row>
    <row r="192">
      <c r="A192" t="inlineStr">
        <is>
          <t>IndianOil XTRA RBL Bank Credit Card</t>
        </is>
      </c>
      <c r="B192" t="inlineStr">
        <is>
          <t>RBL Bank</t>
        </is>
      </c>
      <c r="C192" t="inlineStr">
        <is>
          <t>Official issuer</t>
        </is>
      </c>
      <c r="D192" t="inlineStr">
        <is>
          <t>https://www.rbl.bank.in/personal-banking/cards/credit-cards/category</t>
        </is>
      </c>
      <c r="E192" t="inlineStr">
        <is>
          <t>Second-pass reward/cashback research; populated only from located source material.</t>
        </is>
      </c>
    </row>
    <row r="193">
      <c r="A193" t="inlineStr">
        <is>
          <t>IndianOil RBL Bank Credit Card</t>
        </is>
      </c>
      <c r="B193" t="inlineStr">
        <is>
          <t>RBL Bank</t>
        </is>
      </c>
      <c r="C193" t="inlineStr">
        <is>
          <t>Official issuer</t>
        </is>
      </c>
      <c r="D193" t="inlineStr">
        <is>
          <t>https://www.rbl.bank.in/personal-banking/cards/credit-cards/category</t>
        </is>
      </c>
      <c r="E193" t="inlineStr">
        <is>
          <t>Second-pass reward/cashback research; populated only from located source material.</t>
        </is>
      </c>
    </row>
    <row r="194">
      <c r="A194" t="inlineStr">
        <is>
          <t>RBL Bank Icon Credit Card</t>
        </is>
      </c>
      <c r="B194" t="inlineStr">
        <is>
          <t>RBL Bank</t>
        </is>
      </c>
      <c r="C194" t="inlineStr">
        <is>
          <t>Official issuer</t>
        </is>
      </c>
      <c r="D194" t="inlineStr">
        <is>
          <t>https://www.rbl.bank.in/personal-banking/cards/credit-cards/category</t>
        </is>
      </c>
      <c r="E194" t="inlineStr">
        <is>
          <t>Second-pass reward/cashback research; populated only from located source material.</t>
        </is>
      </c>
    </row>
    <row r="195">
      <c r="A195" t="inlineStr">
        <is>
          <t>RBL Bank World Safari Lite Credit Card</t>
        </is>
      </c>
      <c r="B195" t="inlineStr">
        <is>
          <t>RBL Bank</t>
        </is>
      </c>
      <c r="C195" t="inlineStr">
        <is>
          <t>Official issuer</t>
        </is>
      </c>
      <c r="D195" t="inlineStr">
        <is>
          <t>https://www.rbl.bank.in/personal-banking/cards/credit-cards/category</t>
        </is>
      </c>
      <c r="E195" t="inlineStr">
        <is>
          <t>Second-pass reward/cashback research; populated only from located source material.</t>
        </is>
      </c>
    </row>
    <row r="196">
      <c r="A196" t="inlineStr">
        <is>
          <t>RBL Bank Platinum Maxima Plus Credit Card</t>
        </is>
      </c>
      <c r="B196" t="inlineStr">
        <is>
          <t>RBL Bank</t>
        </is>
      </c>
      <c r="C196" t="inlineStr">
        <is>
          <t>Official issuer</t>
        </is>
      </c>
      <c r="D196" t="inlineStr">
        <is>
          <t>https://webassets.rblbank.com/document/credit-cards/terms-conditions-platinum-maxima-plus.pdf</t>
        </is>
      </c>
      <c r="E196" t="inlineStr">
        <is>
          <t>Second-pass reward/cashback research; populated only from located source material.</t>
        </is>
      </c>
    </row>
    <row r="197">
      <c r="A197" t="inlineStr">
        <is>
          <t>RBL Bank Platinum Delight Credit Card</t>
        </is>
      </c>
      <c r="B197" t="inlineStr">
        <is>
          <t>RBL Bank</t>
        </is>
      </c>
      <c r="C197" t="inlineStr">
        <is>
          <t>Official issuer</t>
        </is>
      </c>
      <c r="D197" t="inlineStr">
        <is>
          <t>https://www.rblbank.com/api/v1/doc/document/credit-cards/terms-conditions-platinum-delight.pdf</t>
        </is>
      </c>
      <c r="E197" t="inlineStr">
        <is>
          <t>Discontinued; official product T&amp;C remains accessible.</t>
        </is>
      </c>
    </row>
    <row r="198">
      <c r="A198" t="inlineStr">
        <is>
          <t>RBL Bank ShopRite Credit Card</t>
        </is>
      </c>
      <c r="B198" t="inlineStr">
        <is>
          <t>RBL Bank</t>
        </is>
      </c>
      <c r="C198" t="inlineStr">
        <is>
          <t>Official issuer</t>
        </is>
      </c>
      <c r="D198" t="inlineStr">
        <is>
          <t>https://www.rbl.bank.in/personal-banking/cards/credit-cards/category</t>
        </is>
      </c>
      <c r="E198" t="inlineStr">
        <is>
          <t>Second-pass reward/cashback research; populated only from located source material.</t>
        </is>
      </c>
    </row>
    <row r="199">
      <c r="A199" t="inlineStr">
        <is>
          <t>RBL Bank Play Credit Card</t>
        </is>
      </c>
      <c r="B199" t="inlineStr">
        <is>
          <t>RBL Bank</t>
        </is>
      </c>
      <c r="C199" t="inlineStr">
        <is>
          <t>Official issuer</t>
        </is>
      </c>
      <c r="D199" t="inlineStr">
        <is>
          <t>https://www.rbl.bank.in/personal-banking/cards/credit-cards/category</t>
        </is>
      </c>
      <c r="E199" t="inlineStr">
        <is>
          <t>Benefit-led card; no conventional earn rate added because none was found.</t>
        </is>
      </c>
    </row>
    <row r="200">
      <c r="A200" t="inlineStr">
        <is>
          <t>Patanjali RBL Bank Vishisht Credit Card</t>
        </is>
      </c>
      <c r="B200" t="inlineStr">
        <is>
          <t>RBL Bank</t>
        </is>
      </c>
      <c r="C200" t="inlineStr">
        <is>
          <t>Official issuer</t>
        </is>
      </c>
      <c r="D200" t="inlineStr">
        <is>
          <t>https://www.rbl.bank.in/personal-banking/cards/credit-cards/rbl-bank-patanjali-vishisht-credit-card</t>
        </is>
      </c>
      <c r="E200" t="inlineStr">
        <is>
          <t>Second-pass reward/cashback research; populated only from located source material.</t>
        </is>
      </c>
    </row>
    <row r="201">
      <c r="A201" t="inlineStr">
        <is>
          <t>Patanjali RBL Bank Swarn Credit Card</t>
        </is>
      </c>
      <c r="B201" t="inlineStr">
        <is>
          <t>RBL Bank</t>
        </is>
      </c>
      <c r="C201" t="inlineStr">
        <is>
          <t>Official issuer</t>
        </is>
      </c>
      <c r="D201" t="inlineStr">
        <is>
          <t>https://www.rbl.bank.in/personal-banking/cards/credit-cards/category</t>
        </is>
      </c>
      <c r="E201" t="inlineStr">
        <is>
          <t>Second-pass reward/cashback research; populated only from located source material.</t>
        </is>
      </c>
    </row>
    <row r="202">
      <c r="A202" t="inlineStr">
        <is>
          <t>RBL Bank LUMIÈRE Credit Card</t>
        </is>
      </c>
      <c r="B202" t="inlineStr">
        <is>
          <t>RBL Bank</t>
        </is>
      </c>
      <c r="C202" t="inlineStr">
        <is>
          <t>Credible secondary</t>
        </is>
      </c>
      <c r="D202" t="inlineStr">
        <is>
          <t>https://www.paisabazaar.com/rbl-bank/rbl-lumiere-credit-card/</t>
        </is>
      </c>
      <c r="E202" t="inlineStr">
        <is>
          <t>Current RBL catalogue confirms LUMIERE; detailed searchable earn table was recovered from a current specialist comparison source.</t>
        </is>
      </c>
    </row>
    <row r="203">
      <c r="A203" t="inlineStr">
        <is>
          <t>RBL Bank Fun+ Credit Card</t>
        </is>
      </c>
      <c r="B203" t="inlineStr">
        <is>
          <t>RBL Bank</t>
        </is>
      </c>
      <c r="C203" t="inlineStr">
        <is>
          <t>Official issuer</t>
        </is>
      </c>
      <c r="D203" t="inlineStr">
        <is>
          <t>https://www.rbl.bank.in/personal-banking/cards/credit-cards/rbl-bank-fun-plus-credit-card</t>
        </is>
      </c>
      <c r="E203" t="inlineStr">
        <is>
          <t>Discontinued; official legacy product page remains live.</t>
        </is>
      </c>
    </row>
    <row r="204">
      <c r="A204" t="inlineStr">
        <is>
          <t>RBL Bank QuickPay Credit Card</t>
        </is>
      </c>
      <c r="B204" t="inlineStr">
        <is>
          <t>RBL Bank</t>
        </is>
      </c>
      <c r="C204" t="inlineStr">
        <is>
          <t>Official issuer</t>
        </is>
      </c>
      <c r="D204" t="inlineStr">
        <is>
          <t>https://www.rbl.bank.in/personal-banking/cards/credit-cards/rbl-bank-quick-pay-credit-card</t>
        </is>
      </c>
      <c r="E204" t="inlineStr">
        <is>
          <t>Discontinued; official legacy page surfaced in second pass.</t>
        </is>
      </c>
    </row>
    <row r="205">
      <c r="A205" t="inlineStr">
        <is>
          <t>RBL Bank iGlobe Credit Card</t>
        </is>
      </c>
      <c r="B205" t="inlineStr">
        <is>
          <t>RBL Bank</t>
        </is>
      </c>
      <c r="C205" t="inlineStr">
        <is>
          <t>Official issuer</t>
        </is>
      </c>
      <c r="D205" t="inlineStr">
        <is>
          <t>https://www.rbl.bank.in/personal-banking/cards/credit-cards/iglobe-credit-card</t>
        </is>
      </c>
      <c r="E205" t="inlineStr">
        <is>
          <t>Discontinued for new applications; official legacy page remains accessible.</t>
        </is>
      </c>
    </row>
    <row r="206">
      <c r="A206" t="inlineStr">
        <is>
          <t>RBL Bank Platinum Maxima Credit Card</t>
        </is>
      </c>
      <c r="B206" t="inlineStr">
        <is>
          <t>RBL Bank</t>
        </is>
      </c>
      <c r="C206" t="inlineStr">
        <is>
          <t>Official issuer</t>
        </is>
      </c>
      <c r="D206" t="inlineStr">
        <is>
          <t>https://webassets.rblbank.com/document/credit-cards/terms-conditions-platinum-maxima.pdf</t>
        </is>
      </c>
      <c r="E206" t="inlineStr">
        <is>
          <t>Discontinued; official legacy T&amp;C recovered in second pass.</t>
        </is>
      </c>
    </row>
    <row r="207">
      <c r="A207" t="inlineStr">
        <is>
          <t>RBL Bank SalarySe Up Credit Card</t>
        </is>
      </c>
      <c r="B207" t="inlineStr">
        <is>
          <t>RBL Bank</t>
        </is>
      </c>
      <c r="C207" t="inlineStr">
        <is>
          <t>Official issuer</t>
        </is>
      </c>
      <c r="D207" t="inlineStr">
        <is>
          <t>https://www.rbl.bank.in/personal-banking/cards/credit-cards/category</t>
        </is>
      </c>
      <c r="E207" t="inlineStr">
        <is>
          <t>Second-pass reward/cashback research; populated only from located source material.</t>
        </is>
      </c>
    </row>
    <row r="208">
      <c r="A208" t="inlineStr">
        <is>
          <t>TVS RBL Bank Credit Card</t>
        </is>
      </c>
      <c r="B208" t="inlineStr">
        <is>
          <t>RBL Bank</t>
        </is>
      </c>
      <c r="C208" t="inlineStr">
        <is>
          <t>Official issuer</t>
        </is>
      </c>
      <c r="D208" t="inlineStr">
        <is>
          <t>https://www.rbl.bank.in/personal-banking/cards/credit-cards/category</t>
        </is>
      </c>
      <c r="E208" t="inlineStr">
        <is>
          <t>Second-pass reward/cashback research; populated only from located source material.</t>
        </is>
      </c>
    </row>
    <row r="209">
      <c r="A209" t="inlineStr">
        <is>
          <t>DMI RBL Bank Credit Card</t>
        </is>
      </c>
      <c r="B209" t="inlineStr">
        <is>
          <t>RBL Bank</t>
        </is>
      </c>
      <c r="C209" t="inlineStr">
        <is>
          <t>Official issuer</t>
        </is>
      </c>
      <c r="D209" t="inlineStr">
        <is>
          <t>https://www.rbl.bank.in/personal-banking/cards/credit-cards/category</t>
        </is>
      </c>
      <c r="E209" t="inlineStr">
        <is>
          <t>Second-pass reward/cashback research; populated only from located source material.</t>
        </is>
      </c>
    </row>
    <row r="210">
      <c r="A210" t="inlineStr">
        <is>
          <t>RBL Bank SaveMax Credit Card</t>
        </is>
      </c>
      <c r="B210" t="inlineStr">
        <is>
          <t>RBL Bank</t>
        </is>
      </c>
      <c r="C210" t="inlineStr">
        <is>
          <t>Official issuer</t>
        </is>
      </c>
      <c r="D210" t="inlineStr">
        <is>
          <t>https://www.rbl.bank.in/personal-banking/cards/credit-cards/rbl-bank-bankbazaar-savemax-credit-card</t>
        </is>
      </c>
      <c r="E210" t="inlineStr">
        <is>
          <t>Second-pass reward/cashback research; populated only from located source material.</t>
        </is>
      </c>
    </row>
    <row r="211">
      <c r="A211" t="inlineStr">
        <is>
          <t>MoneyTap RBL Bank Credit Card</t>
        </is>
      </c>
      <c r="B211" t="inlineStr">
        <is>
          <t>RBL Bank</t>
        </is>
      </c>
      <c r="C211" t="inlineStr">
        <is>
          <t>Official issuer</t>
        </is>
      </c>
      <c r="D211" t="inlineStr">
        <is>
          <t>https://www.rbl.bank.in/personal-banking/cards/credit-cards/category</t>
        </is>
      </c>
      <c r="E211" t="inlineStr">
        <is>
          <t>Discontinued co-brand; legacy earn recovered from product material.</t>
        </is>
      </c>
    </row>
    <row r="212">
      <c r="A212" t="inlineStr">
        <is>
          <t>Paisabazaar Duet RBL Bank Credit Card</t>
        </is>
      </c>
      <c r="B212" t="inlineStr">
        <is>
          <t>RBL Bank</t>
        </is>
      </c>
      <c r="C212" t="inlineStr">
        <is>
          <t>Official co-brand / partner</t>
        </is>
      </c>
      <c r="D212" t="inlineStr">
        <is>
          <t>https://www.paisabazaar.com/paisabazaar-duet/</t>
        </is>
      </c>
      <c r="E212" t="inlineStr">
        <is>
          <t>Second-pass reward/cashback research; populated only from located source material.</t>
        </is>
      </c>
    </row>
    <row r="213">
      <c r="A213" t="inlineStr">
        <is>
          <t>Paisabazaar Plus RBL Bank Credit Card</t>
        </is>
      </c>
      <c r="B213" t="inlineStr">
        <is>
          <t>RBL Bank</t>
        </is>
      </c>
      <c r="C213" t="inlineStr">
        <is>
          <t>Official issuer</t>
        </is>
      </c>
      <c r="D213" t="inlineStr">
        <is>
          <t>https://www.rbl.bank.in/personal-banking/cards/credit-cards/rbl-bank-paisabazaar-duet-plus-credit-card</t>
        </is>
      </c>
      <c r="E213" t="inlineStr">
        <is>
          <t>Catalogue name is Paisabazaar Plus; current issuer page is titled Paisabazaar Duet Plus. Mapping is likely but naming continuity is not independently documented.</t>
        </is>
      </c>
    </row>
    <row r="214">
      <c r="A214" t="inlineStr">
        <is>
          <t>RBL Bank Insignia Credit Card</t>
        </is>
      </c>
      <c r="B214" t="inlineStr">
        <is>
          <t>RBL Bank</t>
        </is>
      </c>
      <c r="C214" t="inlineStr">
        <is>
          <t>Official issuer</t>
        </is>
      </c>
      <c r="D214" t="inlineStr">
        <is>
          <t>https://www.rbl.bank.in/personal-banking/cards/credit-cards/insignia-preferred-banking-credit-card</t>
        </is>
      </c>
      <c r="E214" t="inlineStr">
        <is>
          <t>Second-pass reward/cashback research; populated only from located source material.</t>
        </is>
      </c>
    </row>
    <row r="215">
      <c r="A215" t="inlineStr">
        <is>
          <t>RBL Bank Monthly Treats Credit Card</t>
        </is>
      </c>
      <c r="B215" t="inlineStr">
        <is>
          <t>RBL Bank</t>
        </is>
      </c>
      <c r="C215" t="inlineStr">
        <is>
          <t>Official issuer</t>
        </is>
      </c>
      <c r="D215" t="inlineStr">
        <is>
          <t>https://www.rbl.bank.in/personal-banking/cards/credit-cards/monthly-treats-credit-card</t>
        </is>
      </c>
      <c r="E215" t="inlineStr">
        <is>
          <t>Discontinued for new applications; official legacy page remains live.</t>
        </is>
      </c>
    </row>
    <row r="216">
      <c r="A216" t="inlineStr">
        <is>
          <t>RBL Bank Popcorn Credit Card</t>
        </is>
      </c>
      <c r="B216" t="inlineStr">
        <is>
          <t>RBL Bank</t>
        </is>
      </c>
      <c r="C216" t="inlineStr">
        <is>
          <t>Official issuer</t>
        </is>
      </c>
      <c r="D216" t="inlineStr">
        <is>
          <t>https://www.rbl.bank.in/personal-banking/cards/credit-cards/rbl-bank-popcorn-credit-card</t>
        </is>
      </c>
      <c r="E216" t="inlineStr">
        <is>
          <t>Discontinued/legacy value is cashback-and-movie-benefit led rather than standard reward points.</t>
        </is>
      </c>
    </row>
    <row r="217">
      <c r="A217" t="inlineStr">
        <is>
          <t>RBL Bank Movies and More Credit Card</t>
        </is>
      </c>
      <c r="B217" t="inlineStr">
        <is>
          <t>RBL Bank</t>
        </is>
      </c>
      <c r="C217" t="inlineStr">
        <is>
          <t>Official issuer</t>
        </is>
      </c>
      <c r="D217" t="inlineStr">
        <is>
          <t>https://www.rbl.bank.in/personal-banking/cards/credit-cards/movies-and-more-credit-card</t>
        </is>
      </c>
      <c r="E217" t="inlineStr">
        <is>
          <t>Discontinued; official legacy page remains accessible.</t>
        </is>
      </c>
    </row>
    <row r="218">
      <c r="A218" t="inlineStr">
        <is>
          <t>RBL Bank Blockbuster Credit Card</t>
        </is>
      </c>
      <c r="B218" t="inlineStr">
        <is>
          <t>RBL Bank</t>
        </is>
      </c>
      <c r="C218" t="inlineStr">
        <is>
          <t>Official issuer</t>
        </is>
      </c>
      <c r="D218" t="inlineStr">
        <is>
          <t>https://www.rbl.bank.in/personal-banking/cards/credit-cards/rbl-bank-blockbuster-credit-card</t>
        </is>
      </c>
      <c r="E218" t="inlineStr">
        <is>
          <t>Discontinued/migrating legacy proposition; official page and conversion notice remain available.</t>
        </is>
      </c>
    </row>
    <row r="219">
      <c r="A219" t="inlineStr">
        <is>
          <t>RBL Bank Titanium Delight Credit Card</t>
        </is>
      </c>
      <c r="B219" t="inlineStr">
        <is>
          <t>RBL Bank</t>
        </is>
      </c>
      <c r="C219" t="inlineStr">
        <is>
          <t>Official issuer</t>
        </is>
      </c>
      <c r="D219" t="inlineStr">
        <is>
          <t>https://webasset.rblbank.com/document/credit-cards/terms-conditions-titanium-delight.pdf</t>
        </is>
      </c>
      <c r="E219" t="inlineStr">
        <is>
          <t>Discontinued; official legacy T&amp;C recovered.</t>
        </is>
      </c>
    </row>
    <row r="220">
      <c r="A220" t="inlineStr">
        <is>
          <t>RBL Bank MoCash Credit Card</t>
        </is>
      </c>
      <c r="B220" t="inlineStr">
        <is>
          <t>RBL Bank</t>
        </is>
      </c>
      <c r="C220" t="inlineStr">
        <is>
          <t>Official issuer</t>
        </is>
      </c>
      <c r="D220" t="inlineStr">
        <is>
          <t>https://www.rbl.bank.in/personal-banking/cards/credit-cards/mocash-credit-card</t>
        </is>
      </c>
      <c r="E220" t="inlineStr">
        <is>
          <t>Discontinued; official legacy product page remains live and explicitly states earn rates.</t>
        </is>
      </c>
    </row>
    <row r="221">
      <c r="A221" t="inlineStr">
        <is>
          <t>American Express Platinum Reserve Credit Card</t>
        </is>
      </c>
      <c r="B221" t="inlineStr">
        <is>
          <t>American Express India</t>
        </is>
      </c>
      <c r="C221" t="inlineStr">
        <is>
          <t>Official issuer</t>
        </is>
      </c>
      <c r="D221" t="inlineStr">
        <is>
          <t>https://www.americanexpress.com/in/credit-cards/platinum-reserve-credit-card/</t>
        </is>
      </c>
      <c r="E221" t="inlineStr">
        <is>
          <t>Second-pass reward/cashback research; populated only from located source material.</t>
        </is>
      </c>
    </row>
    <row r="222">
      <c r="A222" t="inlineStr">
        <is>
          <t>HSBC Visa Platinum Credit Card</t>
        </is>
      </c>
      <c r="B222" t="inlineStr">
        <is>
          <t>HSBC India</t>
        </is>
      </c>
      <c r="C222" t="inlineStr">
        <is>
          <t>Official issuer</t>
        </is>
      </c>
      <c r="D222" t="inlineStr">
        <is>
          <t>https://www.hsbc.bank.in/credit-cards/products/visa-platinum/rewards/</t>
        </is>
      </c>
      <c r="E222" t="inlineStr">
        <is>
          <t>Second-pass reward/cashback research; populated only from located source material.</t>
        </is>
      </c>
    </row>
    <row r="223">
      <c r="A223" t="inlineStr">
        <is>
          <t>Standard Chartered Rewards Credit Card</t>
        </is>
      </c>
      <c r="B223" t="inlineStr">
        <is>
          <t>Standard Chartered India</t>
        </is>
      </c>
      <c r="C223" t="inlineStr">
        <is>
          <t>Official issuer</t>
        </is>
      </c>
      <c r="D223" t="inlineStr">
        <is>
          <t>https://www.sc.bank.in/credit-cards/</t>
        </is>
      </c>
      <c r="E223" t="inlineStr">
        <is>
          <t>Second-pass reward/cashback research; populated only from located source material.</t>
        </is>
      </c>
    </row>
    <row r="224">
      <c r="A224" t="inlineStr">
        <is>
          <t>Standard Chartered EaseMyTrip Credit Card</t>
        </is>
      </c>
      <c r="B224" t="inlineStr">
        <is>
          <t>Standard Chartered India</t>
        </is>
      </c>
      <c r="C224" t="inlineStr">
        <is>
          <t>Official issuer</t>
        </is>
      </c>
      <c r="D224" t="inlineStr">
        <is>
          <t>https://www.sc.bank.in/credit-cards/easemytrip-credit-card/</t>
        </is>
      </c>
      <c r="E224" t="inlineStr">
        <is>
          <t>Second-pass reward/cashback research; populated only from located source material.</t>
        </is>
      </c>
    </row>
    <row r="225">
      <c r="A225" t="inlineStr">
        <is>
          <t>Standard Chartered Ultimate Credit Card</t>
        </is>
      </c>
      <c r="B225" t="inlineStr">
        <is>
          <t>Standard Chartered India</t>
        </is>
      </c>
      <c r="C225" t="inlineStr">
        <is>
          <t>Official issuer</t>
        </is>
      </c>
      <c r="D225" t="inlineStr">
        <is>
          <t>https://www.sc.bank.in/employee-banking/ultimate-card/</t>
        </is>
      </c>
      <c r="E225" t="inlineStr">
        <is>
          <t>Second-pass reward/cashback research; populated only from located source material.</t>
        </is>
      </c>
    </row>
    <row r="226">
      <c r="A226" t="inlineStr">
        <is>
          <t>Standard Chartered DigiSmart Credit Card</t>
        </is>
      </c>
      <c r="B226" t="inlineStr">
        <is>
          <t>Standard Chartered India</t>
        </is>
      </c>
      <c r="C226" t="inlineStr">
        <is>
          <t>Official issuer</t>
        </is>
      </c>
      <c r="D226" t="inlineStr">
        <is>
          <t>https://www.sc.bank.in/stories/credit-card/digismartcreditcard-casback-on-travel-shopping-movies-groceries-food-cab/</t>
        </is>
      </c>
      <c r="E226" t="inlineStr">
        <is>
          <t>Second-pass reward/cashback research; populated only from located source material.</t>
        </is>
      </c>
    </row>
    <row r="227">
      <c r="A227" t="inlineStr">
        <is>
          <t>Standard Chartered Beyond Credit Card</t>
        </is>
      </c>
      <c r="B227" t="inlineStr">
        <is>
          <t>Standard Chartered India</t>
        </is>
      </c>
      <c r="C227" t="inlineStr">
        <is>
          <t>Official issuer</t>
        </is>
      </c>
      <c r="D227" t="inlineStr">
        <is>
          <t>https://www.sc.bank.in/credit-cards/beyond-credit-cards/</t>
        </is>
      </c>
      <c r="E227" t="inlineStr">
        <is>
          <t>Discontinued; official legacy page remains accessible.</t>
        </is>
      </c>
    </row>
    <row r="228">
      <c r="A228" t="inlineStr">
        <is>
          <t>BOBCARD Cashback</t>
        </is>
      </c>
      <c r="B228" t="inlineStr">
        <is>
          <t>BOBCARD</t>
        </is>
      </c>
      <c r="C228" t="inlineStr">
        <is>
          <t>Official issuer</t>
        </is>
      </c>
      <c r="D228" t="inlineStr">
        <is>
          <t>https://www.bobcard.co.in/credit-card-types/bobcard-cashback</t>
        </is>
      </c>
      <c r="E228" t="inlineStr">
        <is>
          <t>Second-pass reward/cashback research; populated only from located source material.</t>
        </is>
      </c>
    </row>
    <row r="229">
      <c r="A229" t="inlineStr">
        <is>
          <t>BOBCARD SELECT</t>
        </is>
      </c>
      <c r="B229" t="inlineStr">
        <is>
          <t>BOBCARD</t>
        </is>
      </c>
      <c r="C229" t="inlineStr">
        <is>
          <t>Official issuer</t>
        </is>
      </c>
      <c r="D229" t="inlineStr">
        <is>
          <t>https://www.bobcard.co.in/compare-cards</t>
        </is>
      </c>
      <c r="E229" t="inlineStr">
        <is>
          <t>Second-pass reward/cashback research; populated only from located source material.</t>
        </is>
      </c>
    </row>
    <row r="230">
      <c r="A230" t="inlineStr">
        <is>
          <t>Snapdeal BOBCARD</t>
        </is>
      </c>
      <c r="B230" t="inlineStr">
        <is>
          <t>BOBCARD</t>
        </is>
      </c>
      <c r="C230" t="inlineStr">
        <is>
          <t>Official issuer</t>
        </is>
      </c>
      <c r="D230" t="inlineStr">
        <is>
          <t>https://www.bobcard.co.in/compare-cards</t>
        </is>
      </c>
      <c r="E230" t="inlineStr">
        <is>
          <t>Second-pass reward/cashback research; populated only from located source material.</t>
        </is>
      </c>
    </row>
    <row r="231">
      <c r="A231" t="inlineStr">
        <is>
          <t>BOBCARD ETERNA Credit Card</t>
        </is>
      </c>
      <c r="B231" t="inlineStr">
        <is>
          <t>BOBCARD</t>
        </is>
      </c>
      <c r="C231" t="inlineStr">
        <is>
          <t>Official issuer</t>
        </is>
      </c>
      <c r="D231" t="inlineStr">
        <is>
          <t>https://www.bobcard.co.in/compare-cards</t>
        </is>
      </c>
      <c r="E231" t="inlineStr">
        <is>
          <t>Second-pass reward/cashback research; populated only from located source material.</t>
        </is>
      </c>
    </row>
    <row r="232">
      <c r="A232" t="inlineStr">
        <is>
          <t>BOBCARD PREMIER Credit Card</t>
        </is>
      </c>
      <c r="B232" t="inlineStr">
        <is>
          <t>BOBCARD</t>
        </is>
      </c>
      <c r="C232" t="inlineStr">
        <is>
          <t>Official issuer</t>
        </is>
      </c>
      <c r="D232" t="inlineStr">
        <is>
          <t>https://www.bobcard.co.in/compare-cards</t>
        </is>
      </c>
      <c r="E232" t="inlineStr">
        <is>
          <t>Second-pass reward/cashback research; populated only from located source material.</t>
        </is>
      </c>
    </row>
    <row r="233">
      <c r="A233" t="inlineStr">
        <is>
          <t>BOBCARD TIARA Credit Card</t>
        </is>
      </c>
      <c r="B233" t="inlineStr">
        <is>
          <t>BOBCARD</t>
        </is>
      </c>
      <c r="C233" t="inlineStr">
        <is>
          <t>Official issuer</t>
        </is>
      </c>
      <c r="D233" t="inlineStr">
        <is>
          <t>https://www.bobcard.co.in/compare-cards</t>
        </is>
      </c>
      <c r="E233" t="inlineStr">
        <is>
          <t>Second-pass reward/cashback research; populated only from located source material.</t>
        </is>
      </c>
    </row>
    <row r="234">
      <c r="A234" t="inlineStr">
        <is>
          <t>BOBCARD EASY Credit Card</t>
        </is>
      </c>
      <c r="B234" t="inlineStr">
        <is>
          <t>BOBCARD</t>
        </is>
      </c>
      <c r="C234" t="inlineStr">
        <is>
          <t>Official issuer</t>
        </is>
      </c>
      <c r="D234" t="inlineStr">
        <is>
          <t>https://www.bobcard.co.in/compare-cards</t>
        </is>
      </c>
      <c r="E234" t="inlineStr">
        <is>
          <t>Second-pass reward/cashback research; populated only from located source material.</t>
        </is>
      </c>
    </row>
    <row r="235">
      <c r="A235" t="inlineStr">
        <is>
          <t>HPCL ENERGIE BOBCARD Credit Card</t>
        </is>
      </c>
      <c r="B235" t="inlineStr">
        <is>
          <t>BOBCARD</t>
        </is>
      </c>
      <c r="C235" t="inlineStr">
        <is>
          <t>Official issuer</t>
        </is>
      </c>
      <c r="D235" t="inlineStr">
        <is>
          <t>https://www.bobcard.co.in/compare-cards</t>
        </is>
      </c>
      <c r="E235" t="inlineStr">
        <is>
          <t>Second-pass reward/cashback research; populated only from located source material.</t>
        </is>
      </c>
    </row>
    <row r="236">
      <c r="A236" t="inlineStr">
        <is>
          <t>IRCTC BOBCARD Credit Card</t>
        </is>
      </c>
      <c r="B236" t="inlineStr">
        <is>
          <t>BOBCARD</t>
        </is>
      </c>
      <c r="C236" t="inlineStr">
        <is>
          <t>Official issuer</t>
        </is>
      </c>
      <c r="D236" t="inlineStr">
        <is>
          <t>https://www.bobcard.co.in/credit-card-types/irctc-credit-card</t>
        </is>
      </c>
      <c r="E236" t="inlineStr">
        <is>
          <t>Second-pass reward/cashback research; populated only from located source material.</t>
        </is>
      </c>
    </row>
    <row r="237">
      <c r="A237" t="inlineStr">
        <is>
          <t>BOBCARD PRIME Credit Card</t>
        </is>
      </c>
      <c r="B237" t="inlineStr">
        <is>
          <t>BOBCARD</t>
        </is>
      </c>
      <c r="C237" t="inlineStr">
        <is>
          <t>Official issuer</t>
        </is>
      </c>
      <c r="D237" t="inlineStr">
        <is>
          <t>https://www.bobcard.co.in/compare-cards</t>
        </is>
      </c>
      <c r="E237" t="inlineStr">
        <is>
          <t>Second-pass reward/cashback research; populated only from located source material.</t>
        </is>
      </c>
    </row>
    <row r="238">
      <c r="A238" t="inlineStr">
        <is>
          <t>BOBCARD PM SVANidhi Credit Card</t>
        </is>
      </c>
      <c r="B238" t="inlineStr">
        <is>
          <t>BOBCARD</t>
        </is>
      </c>
      <c r="C238" t="inlineStr">
        <is>
          <t>Official issuer</t>
        </is>
      </c>
      <c r="D238" t="inlineStr">
        <is>
          <t>https://www.bobcard.co.in/credit-card-types/pm-svanidhi</t>
        </is>
      </c>
      <c r="E238" t="inlineStr">
        <is>
          <t>Second-pass reward/cashback research; populated only from located source material.</t>
        </is>
      </c>
    </row>
    <row r="239">
      <c r="A239" t="inlineStr">
        <is>
          <t>Scapia Federal Bank Credit Card</t>
        </is>
      </c>
      <c r="B239" t="inlineStr">
        <is>
          <t>Federal Bank</t>
        </is>
      </c>
      <c r="C239" t="inlineStr">
        <is>
          <t>Official issuer / co-brand</t>
        </is>
      </c>
      <c r="D239" t="inlineStr">
        <is>
          <t>https://www.federal.bank.in/documents/d/guest/cardholder_agreement-v11-30_04_26</t>
        </is>
      </c>
      <c r="E239" t="inlineStr">
        <is>
          <t>Second-pass reward/cashback research; populated only from located source material.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4" customWidth="1" min="3" max="3"/>
    <col width="24" customWidth="1" min="4" max="4"/>
  </cols>
  <sheetData>
    <row r="1">
      <c r="A1" s="16" t="inlineStr">
        <is>
          <t>Reward / cashback second-pass research</t>
        </is>
      </c>
    </row>
    <row r="2">
      <c r="A2" t="inlineStr">
        <is>
          <t>Research date</t>
        </is>
      </c>
      <c r="B2" t="inlineStr">
        <is>
          <t>2026-09-09</t>
        </is>
      </c>
    </row>
    <row r="3">
      <c r="A3" t="inlineStr">
        <is>
          <t>Original rows with both Base reward and Accelerated rewards blank</t>
        </is>
      </c>
      <c r="B3" t="n">
        <v>211</v>
      </c>
    </row>
    <row r="4">
      <c r="A4" t="inlineStr">
        <is>
          <t>Rows with at least one reward/cashback field recovered</t>
        </is>
      </c>
      <c r="B4" t="n">
        <v>211</v>
      </c>
    </row>
    <row r="5">
      <c r="A5" t="inlineStr">
        <is>
          <t>Rows with both base and accelerated fields populated</t>
        </is>
      </c>
      <c r="B5" t="n">
        <v>171</v>
      </c>
    </row>
    <row r="6">
      <c r="A6" t="inlineStr">
        <is>
          <t>Rows using a source labelled credible secondary</t>
        </is>
      </c>
      <c r="B6" t="n">
        <v>7</v>
      </c>
    </row>
    <row r="7">
      <c r="A7" t="inlineStr">
        <is>
          <t>Rows with intentionally descriptive/non-numeric reward wording</t>
        </is>
      </c>
      <c r="B7" t="n">
        <v>12</v>
      </c>
    </row>
    <row r="8">
      <c r="A8" t="inlineStr"/>
      <c r="B8" t="inlineStr"/>
    </row>
    <row r="9">
      <c r="A9" s="15" t="inlineStr">
        <is>
          <t>Issuer</t>
        </is>
      </c>
      <c r="B9" s="15" t="inlineStr">
        <is>
          <t>Target rows</t>
        </is>
      </c>
      <c r="C9" s="15" t="inlineStr">
        <is>
          <t>Recovered at least one</t>
        </is>
      </c>
      <c r="D9" s="15" t="inlineStr">
        <is>
          <t>Credible-secondary rows</t>
        </is>
      </c>
    </row>
    <row r="10">
      <c r="A10" t="inlineStr">
        <is>
          <t>AU Small Finance Bank</t>
        </is>
      </c>
      <c r="B10" t="n">
        <v>23</v>
      </c>
      <c r="C10" t="n">
        <v>23</v>
      </c>
      <c r="D10" t="n">
        <v>3</v>
      </c>
    </row>
    <row r="11">
      <c r="A11" t="inlineStr">
        <is>
          <t>American Express India</t>
        </is>
      </c>
      <c r="B11" t="n">
        <v>1</v>
      </c>
      <c r="C11" t="n">
        <v>1</v>
      </c>
      <c r="D11" t="n">
        <v>0</v>
      </c>
    </row>
    <row r="12">
      <c r="A12" t="inlineStr">
        <is>
          <t>Axis Bank</t>
        </is>
      </c>
      <c r="B12" t="n">
        <v>38</v>
      </c>
      <c r="C12" t="n">
        <v>38</v>
      </c>
      <c r="D12" t="n">
        <v>2</v>
      </c>
    </row>
    <row r="13">
      <c r="A13" t="inlineStr">
        <is>
          <t>BOBCARD</t>
        </is>
      </c>
      <c r="B13" t="n">
        <v>11</v>
      </c>
      <c r="C13" t="n">
        <v>11</v>
      </c>
      <c r="D13" t="n">
        <v>0</v>
      </c>
    </row>
    <row r="14">
      <c r="A14" t="inlineStr">
        <is>
          <t>Federal Bank</t>
        </is>
      </c>
      <c r="B14" t="n">
        <v>1</v>
      </c>
      <c r="C14" t="n">
        <v>1</v>
      </c>
      <c r="D14" t="n">
        <v>0</v>
      </c>
    </row>
    <row r="15">
      <c r="A15" t="inlineStr">
        <is>
          <t>HDFC Bank</t>
        </is>
      </c>
      <c r="B15" t="n">
        <v>17</v>
      </c>
      <c r="C15" t="n">
        <v>17</v>
      </c>
      <c r="D15" t="n">
        <v>0</v>
      </c>
    </row>
    <row r="16">
      <c r="A16" t="inlineStr">
        <is>
          <t>HSBC India</t>
        </is>
      </c>
      <c r="B16" t="n">
        <v>1</v>
      </c>
      <c r="C16" t="n">
        <v>1</v>
      </c>
      <c r="D16" t="n">
        <v>0</v>
      </c>
    </row>
    <row r="17">
      <c r="A17" t="inlineStr">
        <is>
          <t>ICICI Bank</t>
        </is>
      </c>
      <c r="B17" t="n">
        <v>17</v>
      </c>
      <c r="C17" t="n">
        <v>17</v>
      </c>
      <c r="D17" t="n">
        <v>0</v>
      </c>
    </row>
    <row r="18">
      <c r="A18" t="inlineStr">
        <is>
          <t>IDFC FIRST Bank</t>
        </is>
      </c>
      <c r="B18" t="n">
        <v>8</v>
      </c>
      <c r="C18" t="n">
        <v>8</v>
      </c>
      <c r="D18" t="n">
        <v>0</v>
      </c>
    </row>
    <row r="19">
      <c r="A19" t="inlineStr">
        <is>
          <t>IndusInd Bank</t>
        </is>
      </c>
      <c r="B19" t="n">
        <v>13</v>
      </c>
      <c r="C19" t="n">
        <v>13</v>
      </c>
      <c r="D19" t="n">
        <v>0</v>
      </c>
    </row>
    <row r="20">
      <c r="A20" t="inlineStr">
        <is>
          <t>Kotak Mahindra Bank</t>
        </is>
      </c>
      <c r="B20" t="n">
        <v>6</v>
      </c>
      <c r="C20" t="n">
        <v>6</v>
      </c>
      <c r="D20" t="n">
        <v>0</v>
      </c>
    </row>
    <row r="21">
      <c r="A21" t="inlineStr">
        <is>
          <t>RBL Bank</t>
        </is>
      </c>
      <c r="B21" t="n">
        <v>37</v>
      </c>
      <c r="C21" t="n">
        <v>37</v>
      </c>
      <c r="D21" t="n">
        <v>1</v>
      </c>
    </row>
    <row r="22">
      <c r="A22" t="inlineStr">
        <is>
          <t>SBI Card</t>
        </is>
      </c>
      <c r="B22" t="n">
        <v>17</v>
      </c>
      <c r="C22" t="n">
        <v>17</v>
      </c>
      <c r="D22" t="n">
        <v>0</v>
      </c>
    </row>
    <row r="23">
      <c r="A23" t="inlineStr">
        <is>
          <t>Standard Chartered India</t>
        </is>
      </c>
      <c r="B23" t="n">
        <v>5</v>
      </c>
      <c r="C23" t="n">
        <v>5</v>
      </c>
      <c r="D23" t="n">
        <v>0</v>
      </c>
    </row>
    <row r="24">
      <c r="A24" t="inlineStr">
        <is>
          <t>YES BANK</t>
        </is>
      </c>
      <c r="B24" t="n">
        <v>16</v>
      </c>
      <c r="C24" t="n">
        <v>16</v>
      </c>
      <c r="D2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2026-09-09T13:27:07Z</dcterms:created>
  <dcterms:modified xmlns:dcterms="http://purl.org/dc/terms/" xmlns:xsi="http://www.w3.org/2001/XMLSchema-instance" xsi:type="dcterms:W3CDTF">2026-09-09T15:54:38Z</dcterms:modified>
</cp:coreProperties>
</file>